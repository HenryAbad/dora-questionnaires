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as" state="hidden" r:id="rId4"/>
    <sheet sheetId="2" name="Cuestionario Métricas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<sst xmlns="http://schemas.openxmlformats.org/spreadsheetml/2006/main" count="129" uniqueCount="89">
  <si>
    <t>Aplicaciones</t>
  </si>
  <si>
    <t>Opción</t>
  </si>
  <si>
    <t>Valor</t>
  </si>
  <si>
    <t>Nivel</t>
  </si>
  <si>
    <t>Mi App Auna</t>
  </si>
  <si>
    <t>Menos de una hora</t>
  </si>
  <si>
    <t>Elite</t>
  </si>
  <si>
    <t>Bajo demanda (varios despliegues al día)</t>
  </si>
  <si>
    <t>0–15%</t>
  </si>
  <si>
    <t>0–2%</t>
  </si>
  <si>
    <t>Aunados</t>
  </si>
  <si>
    <t>Menos de un día</t>
  </si>
  <si>
    <t>Alto</t>
  </si>
  <si>
    <t>Entre una vez por hora y una vez por día</t>
  </si>
  <si>
    <t>16–30%</t>
  </si>
  <si>
    <t>3–5%</t>
  </si>
  <si>
    <t>Aunados - Facturación</t>
  </si>
  <si>
    <t>Entre un día y una semana</t>
  </si>
  <si>
    <t>Entre una vez por día y una vez por semana</t>
  </si>
  <si>
    <t>31–45%</t>
  </si>
  <si>
    <t>Medio</t>
  </si>
  <si>
    <t>6–15%</t>
  </si>
  <si>
    <t>Aunados – Hospitalización</t>
  </si>
  <si>
    <t>Entre una semana y un mes</t>
  </si>
  <si>
    <t>Entre una vez por semana y una vez por mes</t>
  </si>
  <si>
    <t>46–60%</t>
  </si>
  <si>
    <t>Bajo</t>
  </si>
  <si>
    <t>16–25%</t>
  </si>
  <si>
    <t>Aunados – Devoluciones</t>
  </si>
  <si>
    <t>Entre un mes y seis meses</t>
  </si>
  <si>
    <t>Entre una vez por mes y una vez cada seis meses</t>
  </si>
  <si>
    <t>61–75%</t>
  </si>
  <si>
    <t>26–40%</t>
  </si>
  <si>
    <t>Ecommerce Salud</t>
  </si>
  <si>
    <t>Más de seis meses</t>
  </si>
  <si>
    <t>Menos de una vez cada seis meses</t>
  </si>
  <si>
    <t>76–100%</t>
  </si>
  <si>
    <t>Más del 40%</t>
  </si>
  <si>
    <t>Teleconsultas</t>
  </si>
  <si>
    <t>Membresías Perú</t>
  </si>
  <si>
    <t>Auna.org</t>
  </si>
  <si>
    <t>Laboratorio B2B</t>
  </si>
  <si>
    <t>Cuestionario de Métricas DORA (Quick Check)</t>
  </si>
  <si>
    <t>Basado en dora.dev · Selecciona opciones desde los combos desplegables</t>
  </si>
  <si>
    <t>DATOS DEL EVALUADOR</t>
  </si>
  <si>
    <t>Nombre completo</t>
  </si>
  <si>
    <t>Aplicación / Servicio</t>
  </si>
  <si>
    <t>MÉTRICAS DORA (5 preguntas)</t>
  </si>
  <si>
    <t>#1 · Throughput</t>
  </si>
  <si>
    <t>Change lead time (Tiempo de entrega de cambios)</t>
  </si>
  <si>
    <t>Descripción</t>
  </si>
  <si>
    <t>Tiempo desde que el código se confirma hasta que se ejecuta correctamente en producción.</t>
  </si>
  <si>
    <t>Respuesta ▼</t>
  </si>
  <si>
    <t>#2 · Throughput</t>
  </si>
  <si>
    <t>Deployment frequency (Frecuencia de despliegue)</t>
  </si>
  <si>
    <t>Frecuencia con la que la organización despliega código a producción o lo libera a usuarios finales.</t>
  </si>
  <si>
    <t>#3 · Throughput</t>
  </si>
  <si>
    <t>Failed deployment recovery time (Tiempo de recuperación)</t>
  </si>
  <si>
    <t>Tiempo para restaurar el servicio cuando un cambio en producción lo degrada y requiere remediación.</t>
  </si>
  <si>
    <t>#4 · Estabilidad</t>
  </si>
  <si>
    <t>Change fail rate (Tasa de fallo de cambios)</t>
  </si>
  <si>
    <t>Porcentaje de cambios a producción que resultan en servicio degradado y requieren remediación.</t>
  </si>
  <si>
    <t>#5 · Estabilidad</t>
  </si>
  <si>
    <t>Deployment rework rate (Tasa de retrabajo)</t>
  </si>
  <si>
    <t>Porcentaje de despliegues no planificados en los últimos 6 meses para corregir bugs visibles al usuario.</t>
  </si>
  <si>
    <t>RESULTADOS (calculados automáticamente)</t>
  </si>
  <si>
    <t>Métrica</t>
  </si>
  <si>
    <t>Puntuación /10</t>
  </si>
  <si>
    <t>Change lead time</t>
  </si>
  <si>
    <t>Deployment frequency</t>
  </si>
  <si>
    <t>Failed deployment recovery time</t>
  </si>
  <si>
    <t>Change fail rate</t>
  </si>
  <si>
    <t>Deployment rework rate</t>
  </si>
  <si>
    <t>Rendimiento general /10</t>
  </si>
  <si>
    <t>Throughput /10</t>
  </si>
  <si>
    <t>Estabilidad /10</t>
  </si>
  <si>
    <t>Instrucciones — Cuestionario Métricas DORA</t>
  </si>
  <si>
    <t/>
  </si>
  <si>
    <t>1. Completa tu nombre en la celda correspondiente.</t>
  </si>
  <si>
    <t>2. Selecciona la aplicación desde el combo desplegable.</t>
  </si>
  <si>
    <t>3. Responde las 5 métricas DORA eligiendo una opción en cada combo.</t>
  </si>
  <si>
    <t>4. Los resultados se calculan automáticamente en la sección inferior.</t>
  </si>
  <si>
    <t>Referencia: https://dora.dev/quickcheck/</t>
  </si>
  <si>
    <t>Métricas incluidas:</t>
  </si>
  <si>
    <t xml:space="preserve">  • Change lead time</t>
  </si>
  <si>
    <t xml:space="preserve">  • Deployment frequency</t>
  </si>
  <si>
    <t xml:space="preserve">  • Failed deployment recovery time</t>
  </si>
  <si>
    <t xml:space="preserve">  • Change fail rate</t>
  </si>
  <si>
    <t xml:space="preserve">  • Deployment rework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</si>
</sst>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</font>
    <font>
      <b/>
      <color rgb="FF4285F4"/>
      <sz val="16"/>
    </font>
    <font>
      <i/>
      <color rgb="FF666666"/>
      <sz val="10"/>
    </font>
    <font>
      <b/>
      <color rgb="FFFFFFFF"/>
      <sz val="12"/>
    </font>
    <font>
      <b/>
      <sz val="11"/>
    </font>
    <font>
      <b/>
      <color rgb="FF34A853"/>
    </font>
    <font>
      <i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4285F4"/>
      </patternFill>
    </fill>
    <fill>
      <patternFill patternType="solid">
        <fgColor rgb="FFF8F9FA"/>
      </patternFill>
    </fill>
    <fill>
      <patternFill patternType="solid">
        <fgColor rgb="FFE8F0F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2" borderId="0" xfId="0" applyFont="1" applyFill="1"/>
    <xf numFmtId="0" fontId="5" fillId="0" borderId="0" xfId="0" applyFont="1" applyAlignment="1">
      <alignment vertical="top" wrapText="1"/>
    </xf>
    <xf numFmtId="0" fontId="0" fillId="3" borderId="1" xfId="0" applyFill="1" applyBorder="1"/>
    <xf numFmtId="0" fontId="6" fillId="0" borderId="0" xfId="0" applyFont="1"/>
    <xf numFmtId="0" fontId="7" fillId="0" borderId="0" xfId="0" applyFont="1"/>
    <xf numFmtId="0" fontId="0" fillId="0" borderId="0" xfId="0" applyAlignment="1">
      <alignment wrapText="1"/>
    </xf>
    <xf numFmtId="0" fontId="5" fillId="0" borderId="0" xfId="0" applyFont="1"/>
    <xf numFmtId="0" fontId="0" fillId="4" borderId="2" xfId="0" applyFill="1" applyBorder="1"/>
    <xf numFmtId="0" fontId="8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FormatPr defaultRowHeight="15" outlineLevelRow="0" outlineLevelCol="0" x14ac:dyDescent="55"/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  <c r="K1" s="1" t="s">
        <v>1</v>
      </c>
      <c r="L1" s="1" t="s">
        <v>2</v>
      </c>
      <c r="M1" s="1" t="s">
        <v>3</v>
      </c>
    </row>
    <row r="2" spans="1:13" x14ac:dyDescent="0.25">
      <c r="A2" t="s">
        <v>4</v>
      </c>
      <c r="B2" t="s">
        <v>5</v>
      </c>
      <c r="C2">
        <v>5</v>
      </c>
      <c r="D2" t="s">
        <v>6</v>
      </c>
      <c r="E2" t="s">
        <v>7</v>
      </c>
      <c r="F2">
        <v>5</v>
      </c>
      <c r="G2" t="s">
        <v>6</v>
      </c>
      <c r="H2" t="s">
        <v>8</v>
      </c>
      <c r="I2">
        <v>5</v>
      </c>
      <c r="J2" t="s">
        <v>6</v>
      </c>
      <c r="K2" t="s">
        <v>9</v>
      </c>
      <c r="L2">
        <v>5</v>
      </c>
      <c r="M2" t="s">
        <v>6</v>
      </c>
    </row>
    <row r="3" spans="1:13" x14ac:dyDescent="0.25">
      <c r="A3" t="s">
        <v>10</v>
      </c>
      <c r="B3" t="s">
        <v>11</v>
      </c>
      <c r="C3">
        <v>4</v>
      </c>
      <c r="D3" t="s">
        <v>12</v>
      </c>
      <c r="E3" t="s">
        <v>13</v>
      </c>
      <c r="F3">
        <v>5</v>
      </c>
      <c r="G3" t="s">
        <v>6</v>
      </c>
      <c r="H3" t="s">
        <v>14</v>
      </c>
      <c r="I3">
        <v>4</v>
      </c>
      <c r="J3" t="s">
        <v>12</v>
      </c>
      <c r="K3" t="s">
        <v>15</v>
      </c>
      <c r="L3">
        <v>4</v>
      </c>
      <c r="M3" t="s">
        <v>12</v>
      </c>
    </row>
    <row r="4" spans="1:13" x14ac:dyDescent="0.25">
      <c r="A4" t="s">
        <v>16</v>
      </c>
      <c r="B4" t="s">
        <v>17</v>
      </c>
      <c r="C4">
        <v>4</v>
      </c>
      <c r="D4" t="s">
        <v>12</v>
      </c>
      <c r="E4" t="s">
        <v>18</v>
      </c>
      <c r="F4">
        <v>3</v>
      </c>
      <c r="G4" t="s">
        <v>12</v>
      </c>
      <c r="H4" t="s">
        <v>19</v>
      </c>
      <c r="I4">
        <v>3</v>
      </c>
      <c r="J4" t="s">
        <v>20</v>
      </c>
      <c r="K4" t="s">
        <v>21</v>
      </c>
      <c r="L4">
        <v>3</v>
      </c>
      <c r="M4" t="s">
        <v>20</v>
      </c>
    </row>
    <row r="5" spans="1:13" x14ac:dyDescent="0.25">
      <c r="A5" t="s">
        <v>22</v>
      </c>
      <c r="B5" t="s">
        <v>23</v>
      </c>
      <c r="C5">
        <v>2</v>
      </c>
      <c r="D5" t="s">
        <v>20</v>
      </c>
      <c r="E5" t="s">
        <v>24</v>
      </c>
      <c r="F5">
        <v>2</v>
      </c>
      <c r="G5" t="s">
        <v>20</v>
      </c>
      <c r="H5" t="s">
        <v>25</v>
      </c>
      <c r="I5">
        <v>2</v>
      </c>
      <c r="J5" t="s">
        <v>26</v>
      </c>
      <c r="K5" t="s">
        <v>27</v>
      </c>
      <c r="L5">
        <v>2</v>
      </c>
      <c r="M5" t="s">
        <v>26</v>
      </c>
    </row>
    <row r="6" spans="1:13" x14ac:dyDescent="0.25">
      <c r="A6" t="s">
        <v>28</v>
      </c>
      <c r="B6" t="s">
        <v>29</v>
      </c>
      <c r="C6">
        <v>1</v>
      </c>
      <c r="D6" t="s">
        <v>20</v>
      </c>
      <c r="E6" t="s">
        <v>30</v>
      </c>
      <c r="F6">
        <v>1</v>
      </c>
      <c r="G6" t="s">
        <v>26</v>
      </c>
      <c r="H6" t="s">
        <v>31</v>
      </c>
      <c r="I6">
        <v>1</v>
      </c>
      <c r="J6" t="s">
        <v>26</v>
      </c>
      <c r="K6" t="s">
        <v>32</v>
      </c>
      <c r="L6">
        <v>1</v>
      </c>
      <c r="M6" t="s">
        <v>26</v>
      </c>
    </row>
    <row r="7" spans="1:13" x14ac:dyDescent="0.25">
      <c r="A7" t="s">
        <v>33</v>
      </c>
      <c r="B7" t="s">
        <v>34</v>
      </c>
      <c r="C7">
        <v>0</v>
      </c>
      <c r="D7" t="s">
        <v>26</v>
      </c>
      <c r="E7" t="s">
        <v>35</v>
      </c>
      <c r="F7">
        <v>0</v>
      </c>
      <c r="G7" t="s">
        <v>26</v>
      </c>
      <c r="H7" t="s">
        <v>36</v>
      </c>
      <c r="I7">
        <v>0</v>
      </c>
      <c r="J7" t="s">
        <v>26</v>
      </c>
      <c r="K7" t="s">
        <v>37</v>
      </c>
      <c r="L7">
        <v>0</v>
      </c>
      <c r="M7" t="s">
        <v>26</v>
      </c>
    </row>
    <row r="8" spans="1:1" x14ac:dyDescent="0.25">
      <c r="A8" t="s">
        <v>38</v>
      </c>
    </row>
    <row r="9" spans="1:1" x14ac:dyDescent="0.25">
      <c r="A9" t="s">
        <v>39</v>
      </c>
    </row>
    <row r="10" spans="1:1" x14ac:dyDescent="0.25">
      <c r="A10" t="s">
        <v>40</v>
      </c>
    </row>
    <row r="11" spans="1:1" x14ac:dyDescent="0.25">
      <c r="A11" t="s">
        <v>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58" customWidth="1"/>
    <col min="3" max="4" width="14" customWidth="1"/>
  </cols>
  <sheetData>
    <row r="1" spans="1:4" x14ac:dyDescent="0.25">
      <c r="A1" s="2" t="s">
        <v>42</v>
      </c>
      <c r="B1" s="2"/>
      <c r="C1" s="2"/>
      <c r="D1" s="2"/>
    </row>
    <row r="2" spans="1:4" x14ac:dyDescent="0.25">
      <c r="A2" s="3" t="s">
        <v>43</v>
      </c>
      <c r="B2" s="3"/>
      <c r="C2" s="3"/>
      <c r="D2" s="3"/>
    </row>
    <row r="4" spans="1:4" x14ac:dyDescent="0.25">
      <c r="A4" s="4" t="s">
        <v>44</v>
      </c>
      <c r="B4" s="4"/>
      <c r="C4" s="4"/>
      <c r="D4" s="4"/>
    </row>
    <row r="5" spans="1:2" x14ac:dyDescent="0.25">
      <c r="A5" s="5" t="s">
        <v>45</v>
      </c>
      <c r="B5" s="6"/>
    </row>
    <row r="6" spans="1:2" x14ac:dyDescent="0.25">
      <c r="A6" s="5" t="s">
        <v>46</v>
      </c>
      <c r="B6" s="6"/>
    </row>
    <row r="8" spans="1:4" x14ac:dyDescent="0.25">
      <c r="A8" s="4" t="s">
        <v>47</v>
      </c>
      <c r="B8" s="4"/>
      <c r="C8" s="4"/>
      <c r="D8" s="4"/>
    </row>
    <row r="9" spans="1:4" x14ac:dyDescent="0.25">
      <c r="A9" s="7" t="s">
        <v>48</v>
      </c>
      <c r="B9" s="1" t="s">
        <v>49</v>
      </c>
      <c r="C9" s="1"/>
      <c r="D9" s="1"/>
    </row>
    <row r="10" spans="1:4" x14ac:dyDescent="0.25">
      <c r="A10" s="8" t="s">
        <v>50</v>
      </c>
      <c r="B10" s="9" t="s">
        <v>51</v>
      </c>
      <c r="C10" s="9"/>
      <c r="D10" s="9"/>
    </row>
    <row r="11" spans="1:2" x14ac:dyDescent="0.25">
      <c r="A11" s="10" t="s">
        <v>52</v>
      </c>
      <c r="B11" s="11"/>
    </row>
    <row r="13" spans="1:4" x14ac:dyDescent="0.25">
      <c r="A13" s="7" t="s">
        <v>53</v>
      </c>
      <c r="B13" s="1" t="s">
        <v>54</v>
      </c>
      <c r="C13" s="1"/>
      <c r="D13" s="1"/>
    </row>
    <row r="14" spans="1:4" x14ac:dyDescent="0.25">
      <c r="A14" s="8" t="s">
        <v>50</v>
      </c>
      <c r="B14" s="9" t="s">
        <v>55</v>
      </c>
      <c r="C14" s="9"/>
      <c r="D14" s="9"/>
    </row>
    <row r="15" spans="1:2" x14ac:dyDescent="0.25">
      <c r="A15" s="10" t="s">
        <v>52</v>
      </c>
      <c r="B15" s="11"/>
    </row>
    <row r="17" spans="1:4" x14ac:dyDescent="0.25">
      <c r="A17" s="7" t="s">
        <v>56</v>
      </c>
      <c r="B17" s="1" t="s">
        <v>57</v>
      </c>
      <c r="C17" s="1"/>
      <c r="D17" s="1"/>
    </row>
    <row r="18" spans="1:4" x14ac:dyDescent="0.25">
      <c r="A18" s="8" t="s">
        <v>50</v>
      </c>
      <c r="B18" s="9" t="s">
        <v>58</v>
      </c>
      <c r="C18" s="9"/>
      <c r="D18" s="9"/>
    </row>
    <row r="19" spans="1:2" x14ac:dyDescent="0.25">
      <c r="A19" s="10" t="s">
        <v>52</v>
      </c>
      <c r="B19" s="11"/>
    </row>
    <row r="21" spans="1:4" x14ac:dyDescent="0.25">
      <c r="A21" s="7" t="s">
        <v>59</v>
      </c>
      <c r="B21" s="1" t="s">
        <v>60</v>
      </c>
      <c r="C21" s="1"/>
      <c r="D21" s="1"/>
    </row>
    <row r="22" spans="1:4" x14ac:dyDescent="0.25">
      <c r="A22" s="8" t="s">
        <v>50</v>
      </c>
      <c r="B22" s="9" t="s">
        <v>61</v>
      </c>
      <c r="C22" s="9"/>
      <c r="D22" s="9"/>
    </row>
    <row r="23" spans="1:2" x14ac:dyDescent="0.25">
      <c r="A23" s="10" t="s">
        <v>52</v>
      </c>
      <c r="B23" s="11"/>
    </row>
    <row r="25" spans="1:4" x14ac:dyDescent="0.25">
      <c r="A25" s="7" t="s">
        <v>62</v>
      </c>
      <c r="B25" s="1" t="s">
        <v>63</v>
      </c>
      <c r="C25" s="1"/>
      <c r="D25" s="1"/>
    </row>
    <row r="26" spans="1:4" x14ac:dyDescent="0.25">
      <c r="A26" s="8" t="s">
        <v>50</v>
      </c>
      <c r="B26" s="9" t="s">
        <v>64</v>
      </c>
      <c r="C26" s="9"/>
      <c r="D26" s="9"/>
    </row>
    <row r="27" spans="1:2" x14ac:dyDescent="0.25">
      <c r="A27" s="10" t="s">
        <v>52</v>
      </c>
      <c r="B27" s="11"/>
    </row>
    <row r="29" spans="1:4" x14ac:dyDescent="0.25">
      <c r="A29" s="4" t="s">
        <v>65</v>
      </c>
      <c r="B29" s="4"/>
      <c r="C29" s="4"/>
      <c r="D29" s="4"/>
    </row>
    <row r="30" spans="1:3" x14ac:dyDescent="0.25">
      <c r="A30" s="1" t="s">
        <v>66</v>
      </c>
      <c r="B30" s="1" t="s">
        <v>67</v>
      </c>
      <c r="C30" s="1" t="s">
        <v>3</v>
      </c>
    </row>
    <row r="31" spans="1:3" x14ac:dyDescent="0.25">
      <c r="A31" t="s">
        <v>68</v>
      </c>
      <c r="B31">
        <f>IF(B11="","",ROUND(INDEX(Listas!$C$2:$C$7,MATCH(B11,Listas!$B$2:$B$7,0))/5*10,1))</f>
      </c>
      <c r="C31">
        <f>IF(B11="","",INDEX(Listas!$D$2:$D$7,MATCH(B11,Listas!$B$2:$B$7,0)))</f>
      </c>
    </row>
    <row r="32" spans="1:3" x14ac:dyDescent="0.25">
      <c r="A32" t="s">
        <v>69</v>
      </c>
      <c r="B32">
        <f>IF(B15="","",ROUND(INDEX(Listas!$F$2:$F$7,MATCH(B15,Listas!$E$2:$E$7,0))/5*10,1))</f>
      </c>
      <c r="C32">
        <f>IF(B15="","",INDEX(Listas!$G$2:$G$7,MATCH(B15,Listas!$E$2:$E$7,0)))</f>
      </c>
    </row>
    <row r="33" spans="1:3" x14ac:dyDescent="0.25">
      <c r="A33" t="s">
        <v>70</v>
      </c>
      <c r="B33">
        <f>IF(B19="","",ROUND(INDEX(Listas!$C$2:$C$7,MATCH(B19,Listas!$B$2:$B$7,0))/5*10,1))</f>
      </c>
      <c r="C33">
        <f>IF(B19="","",INDEX(Listas!$D$2:$D$7,MATCH(B19,Listas!$B$2:$B$7,0)))</f>
      </c>
    </row>
    <row r="34" spans="1:3" x14ac:dyDescent="0.25">
      <c r="A34" t="s">
        <v>71</v>
      </c>
      <c r="B34">
        <f>IF(B23="","",ROUND(INDEX(Listas!$I$2:$I$7,MATCH(B23,Listas!$H$2:$H$7,0))/5*10,1))</f>
      </c>
      <c r="C34">
        <f>IF(B23="","",INDEX(Listas!$J$2:$J$7,MATCH(B23,Listas!$H$2:$H$7,0)))</f>
      </c>
    </row>
    <row r="35" spans="1:3" x14ac:dyDescent="0.25">
      <c r="A35" t="s">
        <v>72</v>
      </c>
      <c r="B35">
        <f>IF(B27="","",ROUND(INDEX(Listas!$L$2:$L$7,MATCH(B27,Listas!$K$2:$K$7,0))/5*10,1))</f>
      </c>
      <c r="C35">
        <f>IF(B27="","",INDEX(Listas!$M$2:$M$7,MATCH(B27,Listas!$K$2:$K$7,0)))</f>
      </c>
    </row>
    <row r="37" spans="1:2" x14ac:dyDescent="0.25">
      <c r="A37" s="10" t="s">
        <v>73</v>
      </c>
      <c r="B37" s="12">
        <f>IF(COUNT(B31:B35)=0,"",ROUND(AVERAGE(B31:B35),1))</f>
      </c>
    </row>
    <row r="38" spans="1:2" x14ac:dyDescent="0.25">
      <c r="A38" t="s">
        <v>74</v>
      </c>
      <c r="B38">
        <f>IF(COUNT(B31:B33)=0,"",ROUND(AVERAGE(B31:B33),1))</f>
      </c>
    </row>
    <row r="39" spans="1:2" x14ac:dyDescent="0.25">
      <c r="A39" t="s">
        <v>75</v>
      </c>
      <c r="B39">
        <f>IF(COUNT(B34:B35)=0,"",ROUND(AVERAGE(B34:B35),1))</f>
      </c>
    </row>
  </sheetData>
  <mergeCells count="15">
    <mergeCell ref="A1:D1"/>
    <mergeCell ref="A2:D2"/>
    <mergeCell ref="A4:D4"/>
    <mergeCell ref="A8:D8"/>
    <mergeCell ref="B9:D9"/>
    <mergeCell ref="B10:D10"/>
    <mergeCell ref="B13:D13"/>
    <mergeCell ref="B14:D14"/>
    <mergeCell ref="B17:D17"/>
    <mergeCell ref="B18:D18"/>
    <mergeCell ref="B21:D21"/>
    <mergeCell ref="B22:D22"/>
    <mergeCell ref="B25:D25"/>
    <mergeCell ref="B26:D26"/>
    <mergeCell ref="A29:D29"/>
  </mergeCells>
  <dataValidations count="6">
    <dataValidation type="list" allowBlank="1" showErrorMessage="1" errorTitle="Opción inválida" error="Selecciona un valor de la lista desplegable." sqref="B11">
      <formula1>Listas!$B$2:$B$7</formula1>
    </dataValidation>
    <dataValidation type="list" allowBlank="1" showErrorMessage="1" errorTitle="Opción inválida" error="Selecciona un valor de la lista desplegable." sqref="B15">
      <formula1>Listas!$E$2:$E$7</formula1>
    </dataValidation>
    <dataValidation type="list" allowBlank="1" showErrorMessage="1" errorTitle="Opción inválida" error="Selecciona un valor de la lista desplegable." sqref="B19">
      <formula1>Listas!$B$2:$B$7</formula1>
    </dataValidation>
    <dataValidation type="list" allowBlank="1" showErrorMessage="1" errorTitle="Opción inválida" error="Selecciona un valor de la lista desplegable." sqref="B23">
      <formula1>Listas!$H$2:$H$7</formula1>
    </dataValidation>
    <dataValidation type="list" allowBlank="1" showErrorMessage="1" errorTitle="Opción inválida" error="Selecciona un valor de la lista desplegable." sqref="B27">
      <formula1>Listas!$K$2:$K$7</formula1>
    </dataValidation>
    <dataValidation type="list" allowBlank="1" showErrorMessage="1" errorTitle="Opción inválida" error="Selecciona un valor de la lista desplegable." sqref="B6">
      <formula1>Listas!$A$2:$A$11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80" customWidth="1"/>
  </cols>
  <sheetData>
    <row r="1" spans="1:1" x14ac:dyDescent="0.25">
      <c r="A1" s="13" t="s">
        <v>76</v>
      </c>
    </row>
    <row r="2" spans="1:1" x14ac:dyDescent="0.25">
      <c r="A2" t="s">
        <v>77</v>
      </c>
    </row>
    <row r="3" spans="1:1" x14ac:dyDescent="0.25">
      <c r="A3" t="s">
        <v>78</v>
      </c>
    </row>
    <row r="4" spans="1:1" x14ac:dyDescent="0.25">
      <c r="A4" t="s">
        <v>79</v>
      </c>
    </row>
    <row r="5" spans="1:1" x14ac:dyDescent="0.25">
      <c r="A5" t="s">
        <v>80</v>
      </c>
    </row>
    <row r="6" spans="1:1" x14ac:dyDescent="0.25">
      <c r="A6" t="s">
        <v>81</v>
      </c>
    </row>
    <row r="7" spans="1:1" x14ac:dyDescent="0.25">
      <c r="A7" t="s">
        <v>77</v>
      </c>
    </row>
    <row r="8" spans="1:1" x14ac:dyDescent="0.25">
      <c r="A8" t="s">
        <v>82</v>
      </c>
    </row>
    <row r="9" spans="1:1" x14ac:dyDescent="0.25">
      <c r="A9" t="s">
        <v>77</v>
      </c>
    </row>
    <row r="10" spans="1:1" x14ac:dyDescent="0.25">
      <c r="A10" t="s">
        <v>83</v>
      </c>
    </row>
    <row r="11" spans="1:1" x14ac:dyDescent="0.25">
      <c r="A11" t="s">
        <v>84</v>
      </c>
    </row>
    <row r="12" spans="1:1" x14ac:dyDescent="0.25">
      <c r="A12" t="s">
        <v>85</v>
      </c>
    </row>
    <row r="13" spans="1:1" x14ac:dyDescent="0.25">
      <c r="A13" t="s">
        <v>86</v>
      </c>
    </row>
    <row r="14" spans="1:1" x14ac:dyDescent="0.25">
      <c r="A14" t="s">
        <v>87</v>
      </c>
    </row>
    <row r="15" spans="1:1" x14ac:dyDescent="0.25">
      <c r="A15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Listas</vt:lpstr>
      <vt:lpstr>Cuestionario Métricas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DORA Questionnaires</dc:creator>
  <dc:title/>
  <dc:subject/>
  <dc:description/>
  <cp:keywords/>
  <cp:category/>
  <cp:lastModifiedBy>Unknown</cp:lastModifiedBy>
  <dcterms:created xsi:type="dcterms:W3CDTF">2026-08-15T05:11:11Z</dcterms:created>
  <dcterms:modified xsi:type="dcterms:W3CDTF">2026-08-15T05:11:11Z</dcterms:modified>
</cp:coreProperties>
</file>