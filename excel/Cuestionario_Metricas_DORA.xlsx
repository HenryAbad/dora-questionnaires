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filterPrivacy="1"/>
  <xr:revisionPtr revIDLastSave="0" documentId="13_ncr:1_{E0D90F7F-CF4B-EE42-AE35-D77E15F00AD9}" xr6:coauthVersionLast="47" xr6:coauthVersionMax="47" xr10:uidLastSave="{00000000-0000-0000-0000-000000000000}"/>
  <bookViews>
    <workbookView xWindow="0" yWindow="600" windowWidth="16240" windowHeight="19580" xr2:uid="{00000000-000D-0000-FFFF-FFFF00000000}"/>
  </bookViews>
  <sheets>
    <sheet name="Listas" sheetId="1" r:id="rId1"/>
    <sheet name="Metricas Monica" sheetId="2" r:id="rId2"/>
    <sheet name="Metricas Anthony" sheetId="7" r:id="rId3"/>
    <sheet name="Metricas Gerson" sheetId="12" r:id="rId4"/>
    <sheet name="Metricas Fredy" sheetId="13" r:id="rId5"/>
    <sheet name="Metricas Jos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3" l="1"/>
  <c r="B35" i="13"/>
  <c r="C34" i="13"/>
  <c r="B34" i="13"/>
  <c r="B39" i="13" s="1"/>
  <c r="C33" i="13"/>
  <c r="B33" i="13"/>
  <c r="C32" i="13"/>
  <c r="B32" i="13"/>
  <c r="C31" i="13"/>
  <c r="B31" i="13"/>
  <c r="B38" i="13" s="1"/>
  <c r="C35" i="12"/>
  <c r="B35" i="12"/>
  <c r="C34" i="12"/>
  <c r="B34" i="12"/>
  <c r="B39" i="12" s="1"/>
  <c r="C33" i="12"/>
  <c r="B33" i="12"/>
  <c r="C32" i="12"/>
  <c r="B32" i="12"/>
  <c r="C31" i="12"/>
  <c r="B31" i="12"/>
  <c r="B38" i="12" s="1"/>
  <c r="C35" i="7"/>
  <c r="B35" i="7"/>
  <c r="C34" i="7"/>
  <c r="B34" i="7"/>
  <c r="B39" i="7" s="1"/>
  <c r="C33" i="7"/>
  <c r="B33" i="7"/>
  <c r="C32" i="7"/>
  <c r="B32" i="7"/>
  <c r="C31" i="7"/>
  <c r="B31" i="7"/>
  <c r="C35" i="5"/>
  <c r="B35" i="5"/>
  <c r="C34" i="5"/>
  <c r="B34" i="5"/>
  <c r="C33" i="5"/>
  <c r="B33" i="5"/>
  <c r="C32" i="5"/>
  <c r="B32" i="5"/>
  <c r="C31" i="5"/>
  <c r="B31" i="5"/>
  <c r="C35" i="2"/>
  <c r="B35" i="2"/>
  <c r="C34" i="2"/>
  <c r="B34" i="2"/>
  <c r="C33" i="2"/>
  <c r="B33" i="2"/>
  <c r="C32" i="2"/>
  <c r="B32" i="2"/>
  <c r="C31" i="2"/>
  <c r="B31" i="2"/>
  <c r="B37" i="13" l="1"/>
  <c r="B37" i="12"/>
  <c r="B38" i="7"/>
  <c r="B39" i="5"/>
  <c r="B38" i="5"/>
  <c r="B37" i="7"/>
  <c r="B37" i="5"/>
  <c r="B39" i="2"/>
  <c r="B38" i="2"/>
  <c r="B37" i="2"/>
</calcChain>
</file>

<file path=xl/sharedStrings.xml><?xml version="1.0" encoding="utf-8"?>
<sst xmlns="http://schemas.openxmlformats.org/spreadsheetml/2006/main" count="286" uniqueCount="76">
  <si>
    <t>Aplicaciones</t>
  </si>
  <si>
    <t>Opción</t>
  </si>
  <si>
    <t>Valor</t>
  </si>
  <si>
    <t>Nivel</t>
  </si>
  <si>
    <t>Menos de una hora</t>
  </si>
  <si>
    <t>Elite</t>
  </si>
  <si>
    <t>Bajo demanda (varios despliegues al día)</t>
  </si>
  <si>
    <t>0–15%</t>
  </si>
  <si>
    <t>0–2%</t>
  </si>
  <si>
    <t>Menos de un día</t>
  </si>
  <si>
    <t>Alto</t>
  </si>
  <si>
    <t>Entre una vez por hora y una vez por día</t>
  </si>
  <si>
    <t>16–30%</t>
  </si>
  <si>
    <t>3–5%</t>
  </si>
  <si>
    <t>Entre un día y una semana</t>
  </si>
  <si>
    <t>Entre una vez por día y una vez por semana</t>
  </si>
  <si>
    <t>31–45%</t>
  </si>
  <si>
    <t>Medio</t>
  </si>
  <si>
    <t>6–15%</t>
  </si>
  <si>
    <t>Entre una semana y un mes</t>
  </si>
  <si>
    <t>Entre una vez por semana y una vez por mes</t>
  </si>
  <si>
    <t>46–60%</t>
  </si>
  <si>
    <t>Bajo</t>
  </si>
  <si>
    <t>16–25%</t>
  </si>
  <si>
    <t>Entre un mes y seis meses</t>
  </si>
  <si>
    <t>Entre una vez por mes y una vez cada seis meses</t>
  </si>
  <si>
    <t>61–75%</t>
  </si>
  <si>
    <t>26–40%</t>
  </si>
  <si>
    <t>Más de seis meses</t>
  </si>
  <si>
    <t>Menos de una vez cada seis meses</t>
  </si>
  <si>
    <t>76–100%</t>
  </si>
  <si>
    <t>Más del 40%</t>
  </si>
  <si>
    <t>Cuestionario de Métricas DORA (Quick Check)</t>
  </si>
  <si>
    <t>Basado en dora.dev · Selecciona opciones desde los combos desplegables</t>
  </si>
  <si>
    <t>DATOS DEL EVALUADOR</t>
  </si>
  <si>
    <t>Nombre completo</t>
  </si>
  <si>
    <t>Aplicación / Servicio</t>
  </si>
  <si>
    <t>MÉTRICAS DORA (5 preguntas)</t>
  </si>
  <si>
    <t>#1 · Throughput</t>
  </si>
  <si>
    <t>Change lead time (Tiempo de entrega de cambios)</t>
  </si>
  <si>
    <t>Descripción</t>
  </si>
  <si>
    <t>Tiempo desde que el código se confirma hasta que se ejecuta correctamente en producción.</t>
  </si>
  <si>
    <t>Respuesta ▼</t>
  </si>
  <si>
    <t>#2 · Throughput</t>
  </si>
  <si>
    <t>Deployment frequency (Frecuencia de despliegue)</t>
  </si>
  <si>
    <t>Frecuencia con la que la organización despliega código a producción o lo libera a usuarios finales.</t>
  </si>
  <si>
    <t>#3 · Throughput</t>
  </si>
  <si>
    <t>Failed deployment recovery time (Tiempo de recuperación)</t>
  </si>
  <si>
    <t>Tiempo para restaurar el servicio cuando un cambio en producción lo degrada y requiere remediación.</t>
  </si>
  <si>
    <t>#4 · Estabilidad</t>
  </si>
  <si>
    <t>Change fail rate (Tasa de fallo de cambios)</t>
  </si>
  <si>
    <t>Porcentaje de cambios a producción que resultan en servicio degradado y requieren remediación.</t>
  </si>
  <si>
    <t>#5 · Estabilidad</t>
  </si>
  <si>
    <t>Deployment rework rate (Tasa de retrabajo)</t>
  </si>
  <si>
    <t>Porcentaje de despliegues no planificados en los últimos 6 meses para corregir bugs visibles al usuario.</t>
  </si>
  <si>
    <t>RESULTADOS (calculados automáticamente)</t>
  </si>
  <si>
    <t>Métrica</t>
  </si>
  <si>
    <t>Puntuación /10</t>
  </si>
  <si>
    <t>Change lead time</t>
  </si>
  <si>
    <t>Deployment frequency</t>
  </si>
  <si>
    <t>Failed deployment recovery time</t>
  </si>
  <si>
    <t>Change fail rate</t>
  </si>
  <si>
    <t>Deployment rework rate</t>
  </si>
  <si>
    <t>Rendimiento general /10</t>
  </si>
  <si>
    <t>Throughput /10</t>
  </si>
  <si>
    <t>Estabilidad /10</t>
  </si>
  <si>
    <t>App AUNA</t>
  </si>
  <si>
    <t>Teleconsulta</t>
  </si>
  <si>
    <t>Toyota Hospitalario</t>
  </si>
  <si>
    <t>Toyota Ambulatorio</t>
  </si>
  <si>
    <t>Laboratorio</t>
  </si>
  <si>
    <t>Portal AUNA ORG</t>
  </si>
  <si>
    <t>Anthony</t>
  </si>
  <si>
    <t>Gerson</t>
  </si>
  <si>
    <t>Freddy</t>
  </si>
  <si>
    <t>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</si>
</sst>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rgb="FF4285F4"/>
      <name val="Calibri"/>
      <family val="2"/>
    </font>
    <font>
      <i/>
      <sz val="10"/>
      <color rgb="FF666666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rgb="FF34A853"/>
      <name val="Calibri"/>
      <family val="2"/>
    </font>
    <font>
      <i/>
      <sz val="11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285F4"/>
      </patternFill>
    </fill>
    <fill>
      <patternFill patternType="solid">
        <fgColor rgb="FFF8F9FA"/>
      </patternFill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 wrapText="1"/>
    </xf>
    <xf numFmtId="0" fontId="0" fillId="3" borderId="1" xfId="0" applyFill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0" fillId="4" borderId="2" xfId="0" applyFill="1" applyBorder="1"/>
    <xf numFmtId="0" fontId="8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2" borderId="0" xfId="0" applyFont="1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A2" sqref="A2:A7"/>
    </sheetView>
  </sheetViews>
  <sheetFormatPr baseColWidth="10" defaultColWidth="8.83203125" defaultRowHeight="15" x14ac:dyDescent="0.2"/>
  <cols>
    <col min="1" max="1" width="38" customWidth="1"/>
    <col min="2" max="2" width="24.3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  <c r="K1" s="1" t="s">
        <v>1</v>
      </c>
      <c r="L1" s="1" t="s">
        <v>2</v>
      </c>
      <c r="M1" s="1" t="s">
        <v>3</v>
      </c>
    </row>
    <row r="2" spans="1:13" x14ac:dyDescent="0.2">
      <c r="A2" t="s">
        <v>66</v>
      </c>
      <c r="B2" t="s">
        <v>4</v>
      </c>
      <c r="C2">
        <v>5</v>
      </c>
      <c r="D2" t="s">
        <v>5</v>
      </c>
      <c r="E2" t="s">
        <v>6</v>
      </c>
      <c r="F2">
        <v>5</v>
      </c>
      <c r="G2" t="s">
        <v>5</v>
      </c>
      <c r="H2" t="s">
        <v>7</v>
      </c>
      <c r="I2">
        <v>5</v>
      </c>
      <c r="J2" t="s">
        <v>5</v>
      </c>
      <c r="K2" t="s">
        <v>8</v>
      </c>
      <c r="L2">
        <v>5</v>
      </c>
      <c r="M2" t="s">
        <v>5</v>
      </c>
    </row>
    <row r="3" spans="1:13" x14ac:dyDescent="0.2">
      <c r="A3" t="s">
        <v>67</v>
      </c>
      <c r="B3" t="s">
        <v>9</v>
      </c>
      <c r="C3">
        <v>4</v>
      </c>
      <c r="D3" t="s">
        <v>10</v>
      </c>
      <c r="E3" t="s">
        <v>11</v>
      </c>
      <c r="F3">
        <v>5</v>
      </c>
      <c r="G3" t="s">
        <v>5</v>
      </c>
      <c r="H3" t="s">
        <v>12</v>
      </c>
      <c r="I3">
        <v>4</v>
      </c>
      <c r="J3" t="s">
        <v>10</v>
      </c>
      <c r="K3" t="s">
        <v>13</v>
      </c>
      <c r="L3">
        <v>4</v>
      </c>
      <c r="M3" t="s">
        <v>10</v>
      </c>
    </row>
    <row r="4" spans="1:13" x14ac:dyDescent="0.2">
      <c r="A4" t="s">
        <v>68</v>
      </c>
      <c r="B4" t="s">
        <v>14</v>
      </c>
      <c r="C4">
        <v>4</v>
      </c>
      <c r="D4" t="s">
        <v>10</v>
      </c>
      <c r="E4" t="s">
        <v>15</v>
      </c>
      <c r="F4">
        <v>3</v>
      </c>
      <c r="G4" t="s">
        <v>10</v>
      </c>
      <c r="H4" t="s">
        <v>16</v>
      </c>
      <c r="I4">
        <v>3</v>
      </c>
      <c r="J4" t="s">
        <v>17</v>
      </c>
      <c r="K4" t="s">
        <v>18</v>
      </c>
      <c r="L4">
        <v>3</v>
      </c>
      <c r="M4" t="s">
        <v>17</v>
      </c>
    </row>
    <row r="5" spans="1:13" x14ac:dyDescent="0.2">
      <c r="A5" t="s">
        <v>69</v>
      </c>
      <c r="B5" t="s">
        <v>19</v>
      </c>
      <c r="C5">
        <v>2</v>
      </c>
      <c r="D5" t="s">
        <v>17</v>
      </c>
      <c r="E5" t="s">
        <v>20</v>
      </c>
      <c r="F5">
        <v>2</v>
      </c>
      <c r="G5" t="s">
        <v>17</v>
      </c>
      <c r="H5" t="s">
        <v>21</v>
      </c>
      <c r="I5">
        <v>2</v>
      </c>
      <c r="J5" t="s">
        <v>22</v>
      </c>
      <c r="K5" t="s">
        <v>23</v>
      </c>
      <c r="L5">
        <v>2</v>
      </c>
      <c r="M5" t="s">
        <v>22</v>
      </c>
    </row>
    <row r="6" spans="1:13" x14ac:dyDescent="0.2">
      <c r="A6" t="s">
        <v>70</v>
      </c>
      <c r="B6" t="s">
        <v>24</v>
      </c>
      <c r="C6">
        <v>1</v>
      </c>
      <c r="D6" t="s">
        <v>17</v>
      </c>
      <c r="E6" t="s">
        <v>25</v>
      </c>
      <c r="F6">
        <v>1</v>
      </c>
      <c r="G6" t="s">
        <v>22</v>
      </c>
      <c r="H6" t="s">
        <v>26</v>
      </c>
      <c r="I6">
        <v>1</v>
      </c>
      <c r="J6" t="s">
        <v>22</v>
      </c>
      <c r="K6" t="s">
        <v>27</v>
      </c>
      <c r="L6">
        <v>1</v>
      </c>
      <c r="M6" t="s">
        <v>22</v>
      </c>
    </row>
    <row r="7" spans="1:13" x14ac:dyDescent="0.2">
      <c r="A7" t="s">
        <v>71</v>
      </c>
      <c r="B7" t="s">
        <v>28</v>
      </c>
      <c r="C7">
        <v>0</v>
      </c>
      <c r="D7" t="s">
        <v>22</v>
      </c>
      <c r="E7" t="s">
        <v>29</v>
      </c>
      <c r="F7">
        <v>0</v>
      </c>
      <c r="G7" t="s">
        <v>22</v>
      </c>
      <c r="H7" t="s">
        <v>30</v>
      </c>
      <c r="I7">
        <v>0</v>
      </c>
      <c r="J7" t="s">
        <v>22</v>
      </c>
      <c r="K7" t="s">
        <v>31</v>
      </c>
      <c r="L7">
        <v>0</v>
      </c>
      <c r="M7" t="s">
        <v>22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5" x14ac:dyDescent="0.2"/>
  <cols>
    <col min="1" max="1" width="22" customWidth="1"/>
    <col min="2" max="2" width="58" customWidth="1"/>
    <col min="3" max="4" width="14" customWidth="1"/>
  </cols>
  <sheetData>
    <row r="1" spans="1:4" ht="21" x14ac:dyDescent="0.2">
      <c r="A1" s="9" t="s">
        <v>32</v>
      </c>
      <c r="B1" s="9"/>
      <c r="C1" s="9"/>
      <c r="D1" s="9"/>
    </row>
    <row r="2" spans="1:4" x14ac:dyDescent="0.2">
      <c r="A2" s="10" t="s">
        <v>33</v>
      </c>
      <c r="B2" s="10"/>
      <c r="C2" s="10"/>
      <c r="D2" s="10"/>
    </row>
    <row r="4" spans="1:4" ht="16" x14ac:dyDescent="0.2">
      <c r="A4" s="11" t="s">
        <v>34</v>
      </c>
      <c r="B4" s="11"/>
      <c r="C4" s="11"/>
      <c r="D4" s="11"/>
    </row>
    <row r="5" spans="1:4" ht="16" x14ac:dyDescent="0.2">
      <c r="A5" s="2" t="s">
        <v>35</v>
      </c>
      <c r="B5" s="3"/>
    </row>
    <row r="6" spans="1:4" ht="16" x14ac:dyDescent="0.2">
      <c r="A6" s="2" t="s">
        <v>36</v>
      </c>
      <c r="B6" s="3"/>
    </row>
    <row r="8" spans="1:4" ht="16" x14ac:dyDescent="0.2">
      <c r="A8" s="11" t="s">
        <v>37</v>
      </c>
      <c r="B8" s="11"/>
      <c r="C8" s="11"/>
      <c r="D8" s="11"/>
    </row>
    <row r="9" spans="1:4" x14ac:dyDescent="0.2">
      <c r="A9" s="4" t="s">
        <v>38</v>
      </c>
      <c r="B9" s="12" t="s">
        <v>39</v>
      </c>
      <c r="C9" s="12"/>
      <c r="D9" s="12"/>
    </row>
    <row r="10" spans="1:4" x14ac:dyDescent="0.2">
      <c r="A10" s="5" t="s">
        <v>40</v>
      </c>
      <c r="B10" s="13" t="s">
        <v>41</v>
      </c>
      <c r="C10" s="13"/>
      <c r="D10" s="13"/>
    </row>
    <row r="11" spans="1:4" x14ac:dyDescent="0.2">
      <c r="A11" s="6" t="s">
        <v>42</v>
      </c>
      <c r="B11" s="7"/>
    </row>
    <row r="13" spans="1:4" x14ac:dyDescent="0.2">
      <c r="A13" s="4" t="s">
        <v>43</v>
      </c>
      <c r="B13" s="12" t="s">
        <v>44</v>
      </c>
      <c r="C13" s="12"/>
      <c r="D13" s="12"/>
    </row>
    <row r="14" spans="1:4" x14ac:dyDescent="0.2">
      <c r="A14" s="5" t="s">
        <v>40</v>
      </c>
      <c r="B14" s="13" t="s">
        <v>45</v>
      </c>
      <c r="C14" s="13"/>
      <c r="D14" s="13"/>
    </row>
    <row r="15" spans="1:4" x14ac:dyDescent="0.2">
      <c r="A15" s="6" t="s">
        <v>42</v>
      </c>
      <c r="B15" s="7"/>
    </row>
    <row r="17" spans="1:4" x14ac:dyDescent="0.2">
      <c r="A17" s="4" t="s">
        <v>46</v>
      </c>
      <c r="B17" s="12" t="s">
        <v>47</v>
      </c>
      <c r="C17" s="12"/>
      <c r="D17" s="12"/>
    </row>
    <row r="18" spans="1:4" x14ac:dyDescent="0.2">
      <c r="A18" s="5" t="s">
        <v>40</v>
      </c>
      <c r="B18" s="13" t="s">
        <v>48</v>
      </c>
      <c r="C18" s="13"/>
      <c r="D18" s="13"/>
    </row>
    <row r="19" spans="1:4" x14ac:dyDescent="0.2">
      <c r="A19" s="6" t="s">
        <v>42</v>
      </c>
      <c r="B19" s="7"/>
    </row>
    <row r="21" spans="1:4" x14ac:dyDescent="0.2">
      <c r="A21" s="4" t="s">
        <v>49</v>
      </c>
      <c r="B21" s="12" t="s">
        <v>50</v>
      </c>
      <c r="C21" s="12"/>
      <c r="D21" s="12"/>
    </row>
    <row r="22" spans="1:4" x14ac:dyDescent="0.2">
      <c r="A22" s="5" t="s">
        <v>40</v>
      </c>
      <c r="B22" s="13" t="s">
        <v>51</v>
      </c>
      <c r="C22" s="13"/>
      <c r="D22" s="13"/>
    </row>
    <row r="23" spans="1:4" x14ac:dyDescent="0.2">
      <c r="A23" s="6" t="s">
        <v>42</v>
      </c>
      <c r="B23" s="7"/>
    </row>
    <row r="25" spans="1:4" x14ac:dyDescent="0.2">
      <c r="A25" s="4" t="s">
        <v>52</v>
      </c>
      <c r="B25" s="12" t="s">
        <v>53</v>
      </c>
      <c r="C25" s="12"/>
      <c r="D25" s="12"/>
    </row>
    <row r="26" spans="1:4" x14ac:dyDescent="0.2">
      <c r="A26" s="5" t="s">
        <v>40</v>
      </c>
      <c r="B26" s="13" t="s">
        <v>54</v>
      </c>
      <c r="C26" s="13"/>
      <c r="D26" s="13"/>
    </row>
    <row r="27" spans="1:4" x14ac:dyDescent="0.2">
      <c r="A27" s="6" t="s">
        <v>42</v>
      </c>
      <c r="B27" s="7"/>
    </row>
    <row r="29" spans="1:4" ht="16" x14ac:dyDescent="0.2">
      <c r="A29" s="11" t="s">
        <v>55</v>
      </c>
      <c r="B29" s="11"/>
      <c r="C29" s="11"/>
      <c r="D29" s="11"/>
    </row>
    <row r="30" spans="1:4" x14ac:dyDescent="0.2">
      <c r="A30" s="1" t="s">
        <v>56</v>
      </c>
      <c r="B30" s="1" t="s">
        <v>57</v>
      </c>
      <c r="C30" s="1" t="s">
        <v>3</v>
      </c>
    </row>
    <row r="31" spans="1:4" x14ac:dyDescent="0.2">
      <c r="A31" t="s">
        <v>58</v>
      </c>
      <c r="B31" t="str">
        <f>IF(B11="","",ROUND(INDEX(Listas!$C$2:$C$7,MATCH(B11,Listas!$B$2:$B$7,0))/5*10,1))</f>
        <v/>
      </c>
      <c r="C31" t="str">
        <f>IF(B11="","",INDEX(Listas!$D$2:$D$7,MATCH(B11,Listas!$B$2:$B$7,0)))</f>
        <v/>
      </c>
    </row>
    <row r="32" spans="1:4" x14ac:dyDescent="0.2">
      <c r="A32" t="s">
        <v>59</v>
      </c>
      <c r="B32" t="str">
        <f>IF(B15="","",ROUND(INDEX(Listas!$F$2:$F$7,MATCH(B15,Listas!$E$2:$E$7,0))/5*10,1))</f>
        <v/>
      </c>
      <c r="C32" t="str">
        <f>IF(B15="","",INDEX(Listas!$G$2:$G$7,MATCH(B15,Listas!$E$2:$E$7,0)))</f>
        <v/>
      </c>
    </row>
    <row r="33" spans="1:3" x14ac:dyDescent="0.2">
      <c r="A33" t="s">
        <v>60</v>
      </c>
      <c r="B33" t="str">
        <f>IF(B19="","",ROUND(INDEX(Listas!$C$2:$C$7,MATCH(B19,Listas!$B$2:$B$7,0))/5*10,1))</f>
        <v/>
      </c>
      <c r="C33" t="str">
        <f>IF(B19="","",INDEX(Listas!$D$2:$D$7,MATCH(B19,Listas!$B$2:$B$7,0)))</f>
        <v/>
      </c>
    </row>
    <row r="34" spans="1:3" x14ac:dyDescent="0.2">
      <c r="A34" t="s">
        <v>61</v>
      </c>
      <c r="B34" t="str">
        <f>IF(B23="","",ROUND(INDEX(Listas!$I$2:$I$7,MATCH(B23,Listas!$H$2:$H$7,0))/5*10,1))</f>
        <v/>
      </c>
      <c r="C34" t="str">
        <f>IF(B23="","",INDEX(Listas!$J$2:$J$7,MATCH(B23,Listas!$H$2:$H$7,0)))</f>
        <v/>
      </c>
    </row>
    <row r="35" spans="1:3" x14ac:dyDescent="0.2">
      <c r="A35" t="s">
        <v>62</v>
      </c>
      <c r="B35" t="str">
        <f>IF(B27="","",ROUND(INDEX(Listas!$L$2:$L$7,MATCH(B27,Listas!$K$2:$K$7,0))/5*10,1))</f>
        <v/>
      </c>
      <c r="C35" t="str">
        <f>IF(B27="","",INDEX(Listas!$M$2:$M$7,MATCH(B27,Listas!$K$2:$K$7,0)))</f>
        <v/>
      </c>
    </row>
    <row r="37" spans="1:3" ht="16" x14ac:dyDescent="0.2">
      <c r="A37" s="6" t="s">
        <v>63</v>
      </c>
      <c r="B37" s="8" t="str">
        <f>IF(COUNT(B31:B35)=0,"",ROUND(AVERAGE(B31:B35),1))</f>
        <v/>
      </c>
    </row>
    <row r="38" spans="1:3" x14ac:dyDescent="0.2">
      <c r="A38" t="s">
        <v>64</v>
      </c>
      <c r="B38" t="str">
        <f>IF(COUNT(B31:B33)=0,"",ROUND(AVERAGE(B31:B33),1))</f>
        <v/>
      </c>
    </row>
    <row r="39" spans="1:3" x14ac:dyDescent="0.2">
      <c r="A39" t="s">
        <v>65</v>
      </c>
      <c r="B39" t="str">
        <f>IF(COUNT(B34:B35)=0,"",ROUND(AVERAGE(B34:B35),1))</f>
        <v/>
      </c>
    </row>
  </sheetData>
  <mergeCells count="15">
    <mergeCell ref="B21:D21"/>
    <mergeCell ref="B22:D22"/>
    <mergeCell ref="B25:D25"/>
    <mergeCell ref="B26:D26"/>
    <mergeCell ref="A29:D29"/>
    <mergeCell ref="B10:D10"/>
    <mergeCell ref="B13:D13"/>
    <mergeCell ref="B14:D14"/>
    <mergeCell ref="B17:D17"/>
    <mergeCell ref="B18:D18"/>
    <mergeCell ref="A1:D1"/>
    <mergeCell ref="A2:D2"/>
    <mergeCell ref="A4:D4"/>
    <mergeCell ref="A8:D8"/>
    <mergeCell ref="B9:D9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Opción inválida" error="Selecciona un valor de la lista desplegable." xr:uid="{00000000-0002-0000-0100-000000000000}">
          <x14:formula1>
            <xm:f>Listas!$B$2:$B$7</xm:f>
          </x14:formula1>
          <xm:sqref>B11 B19</xm:sqref>
        </x14:dataValidation>
        <x14:dataValidation type="list" allowBlank="1" showErrorMessage="1" errorTitle="Opción inválida" error="Selecciona un valor de la lista desplegable." xr:uid="{00000000-0002-0000-0100-000001000000}">
          <x14:formula1>
            <xm:f>Listas!$E$2:$E$7</xm:f>
          </x14:formula1>
          <xm:sqref>B15</xm:sqref>
        </x14:dataValidation>
        <x14:dataValidation type="list" allowBlank="1" showErrorMessage="1" errorTitle="Opción inválida" error="Selecciona un valor de la lista desplegable." xr:uid="{00000000-0002-0000-0100-000003000000}">
          <x14:formula1>
            <xm:f>Listas!$H$2:$H$7</xm:f>
          </x14:formula1>
          <xm:sqref>B23</xm:sqref>
        </x14:dataValidation>
        <x14:dataValidation type="list" allowBlank="1" showErrorMessage="1" errorTitle="Opción inválida" error="Selecciona un valor de la lista desplegable." xr:uid="{00000000-0002-0000-0100-000004000000}">
          <x14:formula1>
            <xm:f>Listas!$K$2:$K$7</xm:f>
          </x14:formula1>
          <xm:sqref>B27</xm:sqref>
        </x14:dataValidation>
        <x14:dataValidation type="list" allowBlank="1" showErrorMessage="1" errorTitle="Opción inválida" error="Selecciona un valor de la lista desplegable." xr:uid="{00000000-0002-0000-0100-000005000000}">
          <x14:formula1>
            <xm:f>Listas!$A$2:$A$11</xm:f>
          </x14:formula1>
          <xm:sqref>B6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A8D8-9758-1D4F-80FF-CE41DF20CF9D}">
  <dimension ref="A1:D39"/>
  <sheetViews>
    <sheetView workbookViewId="0">
      <pane ySplit="3" topLeftCell="A4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22" customWidth="1"/>
    <col min="2" max="2" width="58" customWidth="1"/>
    <col min="3" max="4" width="14" customWidth="1"/>
  </cols>
  <sheetData>
    <row r="1" spans="1:4" ht="21" x14ac:dyDescent="0.2">
      <c r="A1" s="9" t="s">
        <v>32</v>
      </c>
      <c r="B1" s="9"/>
      <c r="C1" s="9"/>
      <c r="D1" s="9"/>
    </row>
    <row r="2" spans="1:4" x14ac:dyDescent="0.2">
      <c r="A2" s="10" t="s">
        <v>33</v>
      </c>
      <c r="B2" s="10"/>
      <c r="C2" s="10"/>
      <c r="D2" s="10"/>
    </row>
    <row r="4" spans="1:4" ht="16" x14ac:dyDescent="0.2">
      <c r="A4" s="11" t="s">
        <v>34</v>
      </c>
      <c r="B4" s="11"/>
      <c r="C4" s="11"/>
      <c r="D4" s="11"/>
    </row>
    <row r="5" spans="1:4" ht="16" x14ac:dyDescent="0.2">
      <c r="A5" s="2" t="s">
        <v>35</v>
      </c>
      <c r="B5" s="3" t="s">
        <v>72</v>
      </c>
    </row>
    <row r="6" spans="1:4" ht="16" x14ac:dyDescent="0.2">
      <c r="A6" s="2" t="s">
        <v>36</v>
      </c>
      <c r="B6" s="3"/>
    </row>
    <row r="8" spans="1:4" ht="16" x14ac:dyDescent="0.2">
      <c r="A8" s="11" t="s">
        <v>37</v>
      </c>
      <c r="B8" s="11"/>
      <c r="C8" s="11"/>
      <c r="D8" s="11"/>
    </row>
    <row r="9" spans="1:4" x14ac:dyDescent="0.2">
      <c r="A9" s="4" t="s">
        <v>38</v>
      </c>
      <c r="B9" s="12" t="s">
        <v>39</v>
      </c>
      <c r="C9" s="12"/>
      <c r="D9" s="12"/>
    </row>
    <row r="10" spans="1:4" x14ac:dyDescent="0.2">
      <c r="A10" s="5" t="s">
        <v>40</v>
      </c>
      <c r="B10" s="13" t="s">
        <v>41</v>
      </c>
      <c r="C10" s="13"/>
      <c r="D10" s="13"/>
    </row>
    <row r="11" spans="1:4" x14ac:dyDescent="0.2">
      <c r="A11" s="6" t="s">
        <v>42</v>
      </c>
      <c r="B11" s="7"/>
    </row>
    <row r="13" spans="1:4" x14ac:dyDescent="0.2">
      <c r="A13" s="4" t="s">
        <v>43</v>
      </c>
      <c r="B13" s="12" t="s">
        <v>44</v>
      </c>
      <c r="C13" s="12"/>
      <c r="D13" s="12"/>
    </row>
    <row r="14" spans="1:4" x14ac:dyDescent="0.2">
      <c r="A14" s="5" t="s">
        <v>40</v>
      </c>
      <c r="B14" s="13" t="s">
        <v>45</v>
      </c>
      <c r="C14" s="13"/>
      <c r="D14" s="13"/>
    </row>
    <row r="15" spans="1:4" x14ac:dyDescent="0.2">
      <c r="A15" s="6" t="s">
        <v>42</v>
      </c>
      <c r="B15" s="7"/>
    </row>
    <row r="17" spans="1:4" x14ac:dyDescent="0.2">
      <c r="A17" s="4" t="s">
        <v>46</v>
      </c>
      <c r="B17" s="12" t="s">
        <v>47</v>
      </c>
      <c r="C17" s="12"/>
      <c r="D17" s="12"/>
    </row>
    <row r="18" spans="1:4" x14ac:dyDescent="0.2">
      <c r="A18" s="5" t="s">
        <v>40</v>
      </c>
      <c r="B18" s="13" t="s">
        <v>48</v>
      </c>
      <c r="C18" s="13"/>
      <c r="D18" s="13"/>
    </row>
    <row r="19" spans="1:4" x14ac:dyDescent="0.2">
      <c r="A19" s="6" t="s">
        <v>42</v>
      </c>
      <c r="B19" s="7"/>
    </row>
    <row r="21" spans="1:4" x14ac:dyDescent="0.2">
      <c r="A21" s="4" t="s">
        <v>49</v>
      </c>
      <c r="B21" s="12" t="s">
        <v>50</v>
      </c>
      <c r="C21" s="12"/>
      <c r="D21" s="12"/>
    </row>
    <row r="22" spans="1:4" x14ac:dyDescent="0.2">
      <c r="A22" s="5" t="s">
        <v>40</v>
      </c>
      <c r="B22" s="13" t="s">
        <v>51</v>
      </c>
      <c r="C22" s="13"/>
      <c r="D22" s="13"/>
    </row>
    <row r="23" spans="1:4" x14ac:dyDescent="0.2">
      <c r="A23" s="6" t="s">
        <v>42</v>
      </c>
      <c r="B23" s="7"/>
    </row>
    <row r="25" spans="1:4" x14ac:dyDescent="0.2">
      <c r="A25" s="4" t="s">
        <v>52</v>
      </c>
      <c r="B25" s="12" t="s">
        <v>53</v>
      </c>
      <c r="C25" s="12"/>
      <c r="D25" s="12"/>
    </row>
    <row r="26" spans="1:4" x14ac:dyDescent="0.2">
      <c r="A26" s="5" t="s">
        <v>40</v>
      </c>
      <c r="B26" s="13" t="s">
        <v>54</v>
      </c>
      <c r="C26" s="13"/>
      <c r="D26" s="13"/>
    </row>
    <row r="27" spans="1:4" x14ac:dyDescent="0.2">
      <c r="A27" s="6" t="s">
        <v>42</v>
      </c>
      <c r="B27" s="7"/>
    </row>
    <row r="29" spans="1:4" ht="16" x14ac:dyDescent="0.2">
      <c r="A29" s="11" t="s">
        <v>55</v>
      </c>
      <c r="B29" s="11"/>
      <c r="C29" s="11"/>
      <c r="D29" s="11"/>
    </row>
    <row r="30" spans="1:4" x14ac:dyDescent="0.2">
      <c r="A30" s="1" t="s">
        <v>56</v>
      </c>
      <c r="B30" s="1" t="s">
        <v>57</v>
      </c>
      <c r="C30" s="1" t="s">
        <v>3</v>
      </c>
    </row>
    <row r="31" spans="1:4" x14ac:dyDescent="0.2">
      <c r="A31" t="s">
        <v>58</v>
      </c>
      <c r="B31" t="str">
        <f>IF(B11="","",ROUND(INDEX(Listas!$C$2:$C$7,MATCH(B11,Listas!$B$2:$B$7,0))/5*10,1))</f>
        <v/>
      </c>
      <c r="C31" t="str">
        <f>IF(B11="","",INDEX(Listas!$D$2:$D$7,MATCH(B11,Listas!$B$2:$B$7,0)))</f>
        <v/>
      </c>
    </row>
    <row r="32" spans="1:4" x14ac:dyDescent="0.2">
      <c r="A32" t="s">
        <v>59</v>
      </c>
      <c r="B32" t="str">
        <f>IF(B15="","",ROUND(INDEX(Listas!$F$2:$F$7,MATCH(B15,Listas!$E$2:$E$7,0))/5*10,1))</f>
        <v/>
      </c>
      <c r="C32" t="str">
        <f>IF(B15="","",INDEX(Listas!$G$2:$G$7,MATCH(B15,Listas!$E$2:$E$7,0)))</f>
        <v/>
      </c>
    </row>
    <row r="33" spans="1:3" x14ac:dyDescent="0.2">
      <c r="A33" t="s">
        <v>60</v>
      </c>
      <c r="B33" t="str">
        <f>IF(B19="","",ROUND(INDEX(Listas!$C$2:$C$7,MATCH(B19,Listas!$B$2:$B$7,0))/5*10,1))</f>
        <v/>
      </c>
      <c r="C33" t="str">
        <f>IF(B19="","",INDEX(Listas!$D$2:$D$7,MATCH(B19,Listas!$B$2:$B$7,0)))</f>
        <v/>
      </c>
    </row>
    <row r="34" spans="1:3" x14ac:dyDescent="0.2">
      <c r="A34" t="s">
        <v>61</v>
      </c>
      <c r="B34" t="str">
        <f>IF(B23="","",ROUND(INDEX(Listas!$I$2:$I$7,MATCH(B23,Listas!$H$2:$H$7,0))/5*10,1))</f>
        <v/>
      </c>
      <c r="C34" t="str">
        <f>IF(B23="","",INDEX(Listas!$J$2:$J$7,MATCH(B23,Listas!$H$2:$H$7,0)))</f>
        <v/>
      </c>
    </row>
    <row r="35" spans="1:3" x14ac:dyDescent="0.2">
      <c r="A35" t="s">
        <v>62</v>
      </c>
      <c r="B35" t="str">
        <f>IF(B27="","",ROUND(INDEX(Listas!$L$2:$L$7,MATCH(B27,Listas!$K$2:$K$7,0))/5*10,1))</f>
        <v/>
      </c>
      <c r="C35" t="str">
        <f>IF(B27="","",INDEX(Listas!$M$2:$M$7,MATCH(B27,Listas!$K$2:$K$7,0)))</f>
        <v/>
      </c>
    </row>
    <row r="37" spans="1:3" ht="16" x14ac:dyDescent="0.2">
      <c r="A37" s="6" t="s">
        <v>63</v>
      </c>
      <c r="B37" s="8" t="str">
        <f>IF(COUNT(B31:B35)=0,"",ROUND(AVERAGE(B31:B35),1))</f>
        <v/>
      </c>
    </row>
    <row r="38" spans="1:3" x14ac:dyDescent="0.2">
      <c r="A38" t="s">
        <v>64</v>
      </c>
      <c r="B38" t="str">
        <f>IF(COUNT(B31:B33)=0,"",ROUND(AVERAGE(B31:B33),1))</f>
        <v/>
      </c>
    </row>
    <row r="39" spans="1:3" x14ac:dyDescent="0.2">
      <c r="A39" t="s">
        <v>65</v>
      </c>
      <c r="B39" t="str">
        <f>IF(COUNT(B34:B35)=0,"",ROUND(AVERAGE(B34:B35),1))</f>
        <v/>
      </c>
    </row>
  </sheetData>
  <mergeCells count="15">
    <mergeCell ref="B25:D25"/>
    <mergeCell ref="B26:D26"/>
    <mergeCell ref="A29:D29"/>
    <mergeCell ref="B13:D13"/>
    <mergeCell ref="B14:D14"/>
    <mergeCell ref="B17:D17"/>
    <mergeCell ref="B18:D18"/>
    <mergeCell ref="B21:D21"/>
    <mergeCell ref="B22:D22"/>
    <mergeCell ref="A1:D1"/>
    <mergeCell ref="A2:D2"/>
    <mergeCell ref="A4:D4"/>
    <mergeCell ref="A8:D8"/>
    <mergeCell ref="B9:D9"/>
    <mergeCell ref="B10:D10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Opción inválida" error="Selecciona un valor de la lista desplegable." xr:uid="{8F7786FA-41D2-9947-BAF2-4A0523B9AF74}">
          <x14:formula1>
            <xm:f>Listas!$B$2:$B$7</xm:f>
          </x14:formula1>
          <xm:sqref>B11 B19</xm:sqref>
        </x14:dataValidation>
        <x14:dataValidation type="list" allowBlank="1" showErrorMessage="1" errorTitle="Opción inválida" error="Selecciona un valor de la lista desplegable." xr:uid="{ED33B9DD-9FF1-9F45-9517-78A5D1B44372}">
          <x14:formula1>
            <xm:f>Listas!$E$2:$E$7</xm:f>
          </x14:formula1>
          <xm:sqref>B15</xm:sqref>
        </x14:dataValidation>
        <x14:dataValidation type="list" allowBlank="1" showErrorMessage="1" errorTitle="Opción inválida" error="Selecciona un valor de la lista desplegable." xr:uid="{57753E31-5950-584B-B747-DA94A702005E}">
          <x14:formula1>
            <xm:f>Listas!$H$2:$H$7</xm:f>
          </x14:formula1>
          <xm:sqref>B23</xm:sqref>
        </x14:dataValidation>
        <x14:dataValidation type="list" allowBlank="1" showErrorMessage="1" errorTitle="Opción inválida" error="Selecciona un valor de la lista desplegable." xr:uid="{CB416570-EEAA-4443-87C1-2C5C8B0B9679}">
          <x14:formula1>
            <xm:f>Listas!$K$2:$K$7</xm:f>
          </x14:formula1>
          <xm:sqref>B27</xm:sqref>
        </x14:dataValidation>
        <x14:dataValidation type="list" allowBlank="1" showErrorMessage="1" errorTitle="Opción inválida" error="Selecciona un valor de la lista desplegable." xr:uid="{80C96FF5-E4D0-DF4D-A38F-8C42C9784A1E}">
          <x14:formula1>
            <xm:f>Listas!$A$2:$A$11</xm:f>
          </x14:formula1>
          <xm:sqref>B6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FCA4-9729-924C-AFA5-EABE0A2B415A}">
  <dimension ref="A1:D39"/>
  <sheetViews>
    <sheetView workbookViewId="0">
      <pane ySplit="3" topLeftCell="A4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22" customWidth="1"/>
    <col min="2" max="2" width="58" customWidth="1"/>
    <col min="3" max="4" width="14" customWidth="1"/>
  </cols>
  <sheetData>
    <row r="1" spans="1:4" ht="21" x14ac:dyDescent="0.2">
      <c r="A1" s="9" t="s">
        <v>32</v>
      </c>
      <c r="B1" s="9"/>
      <c r="C1" s="9"/>
      <c r="D1" s="9"/>
    </row>
    <row r="2" spans="1:4" x14ac:dyDescent="0.2">
      <c r="A2" s="10" t="s">
        <v>33</v>
      </c>
      <c r="B2" s="10"/>
      <c r="C2" s="10"/>
      <c r="D2" s="10"/>
    </row>
    <row r="4" spans="1:4" ht="16" x14ac:dyDescent="0.2">
      <c r="A4" s="11" t="s">
        <v>34</v>
      </c>
      <c r="B4" s="11"/>
      <c r="C4" s="11"/>
      <c r="D4" s="11"/>
    </row>
    <row r="5" spans="1:4" ht="16" x14ac:dyDescent="0.2">
      <c r="A5" s="2" t="s">
        <v>35</v>
      </c>
      <c r="B5" s="3" t="s">
        <v>73</v>
      </c>
    </row>
    <row r="6" spans="1:4" ht="16" x14ac:dyDescent="0.2">
      <c r="A6" s="2" t="s">
        <v>36</v>
      </c>
      <c r="B6" s="3"/>
    </row>
    <row r="8" spans="1:4" ht="16" x14ac:dyDescent="0.2">
      <c r="A8" s="11" t="s">
        <v>37</v>
      </c>
      <c r="B8" s="11"/>
      <c r="C8" s="11"/>
      <c r="D8" s="11"/>
    </row>
    <row r="9" spans="1:4" x14ac:dyDescent="0.2">
      <c r="A9" s="4" t="s">
        <v>38</v>
      </c>
      <c r="B9" s="12" t="s">
        <v>39</v>
      </c>
      <c r="C9" s="12"/>
      <c r="D9" s="12"/>
    </row>
    <row r="10" spans="1:4" x14ac:dyDescent="0.2">
      <c r="A10" s="5" t="s">
        <v>40</v>
      </c>
      <c r="B10" s="13" t="s">
        <v>41</v>
      </c>
      <c r="C10" s="13"/>
      <c r="D10" s="13"/>
    </row>
    <row r="11" spans="1:4" x14ac:dyDescent="0.2">
      <c r="A11" s="6" t="s">
        <v>42</v>
      </c>
      <c r="B11" s="7"/>
    </row>
    <row r="13" spans="1:4" x14ac:dyDescent="0.2">
      <c r="A13" s="4" t="s">
        <v>43</v>
      </c>
      <c r="B13" s="12" t="s">
        <v>44</v>
      </c>
      <c r="C13" s="12"/>
      <c r="D13" s="12"/>
    </row>
    <row r="14" spans="1:4" x14ac:dyDescent="0.2">
      <c r="A14" s="5" t="s">
        <v>40</v>
      </c>
      <c r="B14" s="13" t="s">
        <v>45</v>
      </c>
      <c r="C14" s="13"/>
      <c r="D14" s="13"/>
    </row>
    <row r="15" spans="1:4" x14ac:dyDescent="0.2">
      <c r="A15" s="6" t="s">
        <v>42</v>
      </c>
      <c r="B15" s="7"/>
    </row>
    <row r="17" spans="1:4" x14ac:dyDescent="0.2">
      <c r="A17" s="4" t="s">
        <v>46</v>
      </c>
      <c r="B17" s="12" t="s">
        <v>47</v>
      </c>
      <c r="C17" s="12"/>
      <c r="D17" s="12"/>
    </row>
    <row r="18" spans="1:4" x14ac:dyDescent="0.2">
      <c r="A18" s="5" t="s">
        <v>40</v>
      </c>
      <c r="B18" s="13" t="s">
        <v>48</v>
      </c>
      <c r="C18" s="13"/>
      <c r="D18" s="13"/>
    </row>
    <row r="19" spans="1:4" x14ac:dyDescent="0.2">
      <c r="A19" s="6" t="s">
        <v>42</v>
      </c>
      <c r="B19" s="7"/>
    </row>
    <row r="21" spans="1:4" x14ac:dyDescent="0.2">
      <c r="A21" s="4" t="s">
        <v>49</v>
      </c>
      <c r="B21" s="12" t="s">
        <v>50</v>
      </c>
      <c r="C21" s="12"/>
      <c r="D21" s="12"/>
    </row>
    <row r="22" spans="1:4" x14ac:dyDescent="0.2">
      <c r="A22" s="5" t="s">
        <v>40</v>
      </c>
      <c r="B22" s="13" t="s">
        <v>51</v>
      </c>
      <c r="C22" s="13"/>
      <c r="D22" s="13"/>
    </row>
    <row r="23" spans="1:4" x14ac:dyDescent="0.2">
      <c r="A23" s="6" t="s">
        <v>42</v>
      </c>
      <c r="B23" s="7"/>
    </row>
    <row r="25" spans="1:4" x14ac:dyDescent="0.2">
      <c r="A25" s="4" t="s">
        <v>52</v>
      </c>
      <c r="B25" s="12" t="s">
        <v>53</v>
      </c>
      <c r="C25" s="12"/>
      <c r="D25" s="12"/>
    </row>
    <row r="26" spans="1:4" x14ac:dyDescent="0.2">
      <c r="A26" s="5" t="s">
        <v>40</v>
      </c>
      <c r="B26" s="13" t="s">
        <v>54</v>
      </c>
      <c r="C26" s="13"/>
      <c r="D26" s="13"/>
    </row>
    <row r="27" spans="1:4" x14ac:dyDescent="0.2">
      <c r="A27" s="6" t="s">
        <v>42</v>
      </c>
      <c r="B27" s="7"/>
    </row>
    <row r="29" spans="1:4" ht="16" x14ac:dyDescent="0.2">
      <c r="A29" s="11" t="s">
        <v>55</v>
      </c>
      <c r="B29" s="11"/>
      <c r="C29" s="11"/>
      <c r="D29" s="11"/>
    </row>
    <row r="30" spans="1:4" x14ac:dyDescent="0.2">
      <c r="A30" s="1" t="s">
        <v>56</v>
      </c>
      <c r="B30" s="1" t="s">
        <v>57</v>
      </c>
      <c r="C30" s="1" t="s">
        <v>3</v>
      </c>
    </row>
    <row r="31" spans="1:4" x14ac:dyDescent="0.2">
      <c r="A31" t="s">
        <v>58</v>
      </c>
      <c r="B31" t="str">
        <f>IF(B11="","",ROUND(INDEX(Listas!$C$2:$C$7,MATCH(B11,Listas!$B$2:$B$7,0))/5*10,1))</f>
        <v/>
      </c>
      <c r="C31" t="str">
        <f>IF(B11="","",INDEX(Listas!$D$2:$D$7,MATCH(B11,Listas!$B$2:$B$7,0)))</f>
        <v/>
      </c>
    </row>
    <row r="32" spans="1:4" x14ac:dyDescent="0.2">
      <c r="A32" t="s">
        <v>59</v>
      </c>
      <c r="B32" t="str">
        <f>IF(B15="","",ROUND(INDEX(Listas!$F$2:$F$7,MATCH(B15,Listas!$E$2:$E$7,0))/5*10,1))</f>
        <v/>
      </c>
      <c r="C32" t="str">
        <f>IF(B15="","",INDEX(Listas!$G$2:$G$7,MATCH(B15,Listas!$E$2:$E$7,0)))</f>
        <v/>
      </c>
    </row>
    <row r="33" spans="1:3" x14ac:dyDescent="0.2">
      <c r="A33" t="s">
        <v>60</v>
      </c>
      <c r="B33" t="str">
        <f>IF(B19="","",ROUND(INDEX(Listas!$C$2:$C$7,MATCH(B19,Listas!$B$2:$B$7,0))/5*10,1))</f>
        <v/>
      </c>
      <c r="C33" t="str">
        <f>IF(B19="","",INDEX(Listas!$D$2:$D$7,MATCH(B19,Listas!$B$2:$B$7,0)))</f>
        <v/>
      </c>
    </row>
    <row r="34" spans="1:3" x14ac:dyDescent="0.2">
      <c r="A34" t="s">
        <v>61</v>
      </c>
      <c r="B34" t="str">
        <f>IF(B23="","",ROUND(INDEX(Listas!$I$2:$I$7,MATCH(B23,Listas!$H$2:$H$7,0))/5*10,1))</f>
        <v/>
      </c>
      <c r="C34" t="str">
        <f>IF(B23="","",INDEX(Listas!$J$2:$J$7,MATCH(B23,Listas!$H$2:$H$7,0)))</f>
        <v/>
      </c>
    </row>
    <row r="35" spans="1:3" x14ac:dyDescent="0.2">
      <c r="A35" t="s">
        <v>62</v>
      </c>
      <c r="B35" t="str">
        <f>IF(B27="","",ROUND(INDEX(Listas!$L$2:$L$7,MATCH(B27,Listas!$K$2:$K$7,0))/5*10,1))</f>
        <v/>
      </c>
      <c r="C35" t="str">
        <f>IF(B27="","",INDEX(Listas!$M$2:$M$7,MATCH(B27,Listas!$K$2:$K$7,0)))</f>
        <v/>
      </c>
    </row>
    <row r="37" spans="1:3" ht="16" x14ac:dyDescent="0.2">
      <c r="A37" s="6" t="s">
        <v>63</v>
      </c>
      <c r="B37" s="8" t="str">
        <f>IF(COUNT(B31:B35)=0,"",ROUND(AVERAGE(B31:B35),1))</f>
        <v/>
      </c>
    </row>
    <row r="38" spans="1:3" x14ac:dyDescent="0.2">
      <c r="A38" t="s">
        <v>64</v>
      </c>
      <c r="B38" t="str">
        <f>IF(COUNT(B31:B33)=0,"",ROUND(AVERAGE(B31:B33),1))</f>
        <v/>
      </c>
    </row>
    <row r="39" spans="1:3" x14ac:dyDescent="0.2">
      <c r="A39" t="s">
        <v>65</v>
      </c>
      <c r="B39" t="str">
        <f>IF(COUNT(B34:B35)=0,"",ROUND(AVERAGE(B34:B35),1))</f>
        <v/>
      </c>
    </row>
  </sheetData>
  <mergeCells count="15">
    <mergeCell ref="B25:D25"/>
    <mergeCell ref="B26:D26"/>
    <mergeCell ref="A29:D29"/>
    <mergeCell ref="B13:D13"/>
    <mergeCell ref="B14:D14"/>
    <mergeCell ref="B17:D17"/>
    <mergeCell ref="B18:D18"/>
    <mergeCell ref="B21:D21"/>
    <mergeCell ref="B22:D22"/>
    <mergeCell ref="A1:D1"/>
    <mergeCell ref="A2:D2"/>
    <mergeCell ref="A4:D4"/>
    <mergeCell ref="A8:D8"/>
    <mergeCell ref="B9:D9"/>
    <mergeCell ref="B10:D10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Opción inválida" error="Selecciona un valor de la lista desplegable." xr:uid="{40311979-4F58-BA45-B73A-9445B0267EDF}">
          <x14:formula1>
            <xm:f>Listas!$B$2:$B$7</xm:f>
          </x14:formula1>
          <xm:sqref>B11 B19</xm:sqref>
        </x14:dataValidation>
        <x14:dataValidation type="list" allowBlank="1" showErrorMessage="1" errorTitle="Opción inválida" error="Selecciona un valor de la lista desplegable." xr:uid="{7FAA6AF7-4CB3-3146-8D57-E24CB144060F}">
          <x14:formula1>
            <xm:f>Listas!$E$2:$E$7</xm:f>
          </x14:formula1>
          <xm:sqref>B15</xm:sqref>
        </x14:dataValidation>
        <x14:dataValidation type="list" allowBlank="1" showErrorMessage="1" errorTitle="Opción inválida" error="Selecciona un valor de la lista desplegable." xr:uid="{B1757200-8E45-B244-9625-8C2162F138E5}">
          <x14:formula1>
            <xm:f>Listas!$H$2:$H$7</xm:f>
          </x14:formula1>
          <xm:sqref>B23</xm:sqref>
        </x14:dataValidation>
        <x14:dataValidation type="list" allowBlank="1" showErrorMessage="1" errorTitle="Opción inválida" error="Selecciona un valor de la lista desplegable." xr:uid="{2273BD64-15AF-DA46-AF9F-29D085134D5A}">
          <x14:formula1>
            <xm:f>Listas!$K$2:$K$7</xm:f>
          </x14:formula1>
          <xm:sqref>B27</xm:sqref>
        </x14:dataValidation>
        <x14:dataValidation type="list" allowBlank="1" showErrorMessage="1" errorTitle="Opción inválida" error="Selecciona un valor de la lista desplegable." xr:uid="{8CF2D30C-19D8-2B43-80ED-84333748FBE0}">
          <x14:formula1>
            <xm:f>Listas!$A$2:$A$11</xm:f>
          </x14:formula1>
          <xm:sqref>B6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4303-5FFE-FA4E-9232-D3C944649189}">
  <dimension ref="A1:D39"/>
  <sheetViews>
    <sheetView workbookViewId="0">
      <pane ySplit="3" topLeftCell="A4" activePane="bottomLeft" state="frozen"/>
      <selection pane="bottomLeft" activeCell="B36" sqref="B36"/>
    </sheetView>
  </sheetViews>
  <sheetFormatPr baseColWidth="10" defaultColWidth="8.83203125" defaultRowHeight="15" x14ac:dyDescent="0.2"/>
  <cols>
    <col min="1" max="1" width="22" customWidth="1"/>
    <col min="2" max="2" width="58" customWidth="1"/>
    <col min="3" max="4" width="14" customWidth="1"/>
  </cols>
  <sheetData>
    <row r="1" spans="1:4" ht="21" x14ac:dyDescent="0.2">
      <c r="A1" s="9" t="s">
        <v>32</v>
      </c>
      <c r="B1" s="9"/>
      <c r="C1" s="9"/>
      <c r="D1" s="9"/>
    </row>
    <row r="2" spans="1:4" x14ac:dyDescent="0.2">
      <c r="A2" s="10" t="s">
        <v>33</v>
      </c>
      <c r="B2" s="10"/>
      <c r="C2" s="10"/>
      <c r="D2" s="10"/>
    </row>
    <row r="4" spans="1:4" ht="16" x14ac:dyDescent="0.2">
      <c r="A4" s="11" t="s">
        <v>34</v>
      </c>
      <c r="B4" s="11"/>
      <c r="C4" s="11"/>
      <c r="D4" s="11"/>
    </row>
    <row r="5" spans="1:4" ht="16" x14ac:dyDescent="0.2">
      <c r="A5" s="2" t="s">
        <v>35</v>
      </c>
      <c r="B5" s="3" t="s">
        <v>74</v>
      </c>
    </row>
    <row r="6" spans="1:4" ht="16" x14ac:dyDescent="0.2">
      <c r="A6" s="2" t="s">
        <v>36</v>
      </c>
      <c r="B6" s="3"/>
    </row>
    <row r="8" spans="1:4" ht="16" x14ac:dyDescent="0.2">
      <c r="A8" s="11" t="s">
        <v>37</v>
      </c>
      <c r="B8" s="11"/>
      <c r="C8" s="11"/>
      <c r="D8" s="11"/>
    </row>
    <row r="9" spans="1:4" x14ac:dyDescent="0.2">
      <c r="A9" s="4" t="s">
        <v>38</v>
      </c>
      <c r="B9" s="12" t="s">
        <v>39</v>
      </c>
      <c r="C9" s="12"/>
      <c r="D9" s="12"/>
    </row>
    <row r="10" spans="1:4" x14ac:dyDescent="0.2">
      <c r="A10" s="5" t="s">
        <v>40</v>
      </c>
      <c r="B10" s="13" t="s">
        <v>41</v>
      </c>
      <c r="C10" s="13"/>
      <c r="D10" s="13"/>
    </row>
    <row r="11" spans="1:4" x14ac:dyDescent="0.2">
      <c r="A11" s="6" t="s">
        <v>42</v>
      </c>
      <c r="B11" s="7"/>
    </row>
    <row r="13" spans="1:4" x14ac:dyDescent="0.2">
      <c r="A13" s="4" t="s">
        <v>43</v>
      </c>
      <c r="B13" s="12" t="s">
        <v>44</v>
      </c>
      <c r="C13" s="12"/>
      <c r="D13" s="12"/>
    </row>
    <row r="14" spans="1:4" x14ac:dyDescent="0.2">
      <c r="A14" s="5" t="s">
        <v>40</v>
      </c>
      <c r="B14" s="13" t="s">
        <v>45</v>
      </c>
      <c r="C14" s="13"/>
      <c r="D14" s="13"/>
    </row>
    <row r="15" spans="1:4" x14ac:dyDescent="0.2">
      <c r="A15" s="6" t="s">
        <v>42</v>
      </c>
      <c r="B15" s="7"/>
    </row>
    <row r="17" spans="1:4" x14ac:dyDescent="0.2">
      <c r="A17" s="4" t="s">
        <v>46</v>
      </c>
      <c r="B17" s="12" t="s">
        <v>47</v>
      </c>
      <c r="C17" s="12"/>
      <c r="D17" s="12"/>
    </row>
    <row r="18" spans="1:4" x14ac:dyDescent="0.2">
      <c r="A18" s="5" t="s">
        <v>40</v>
      </c>
      <c r="B18" s="13" t="s">
        <v>48</v>
      </c>
      <c r="C18" s="13"/>
      <c r="D18" s="13"/>
    </row>
    <row r="19" spans="1:4" x14ac:dyDescent="0.2">
      <c r="A19" s="6" t="s">
        <v>42</v>
      </c>
      <c r="B19" s="7"/>
    </row>
    <row r="21" spans="1:4" x14ac:dyDescent="0.2">
      <c r="A21" s="4" t="s">
        <v>49</v>
      </c>
      <c r="B21" s="12" t="s">
        <v>50</v>
      </c>
      <c r="C21" s="12"/>
      <c r="D21" s="12"/>
    </row>
    <row r="22" spans="1:4" x14ac:dyDescent="0.2">
      <c r="A22" s="5" t="s">
        <v>40</v>
      </c>
      <c r="B22" s="13" t="s">
        <v>51</v>
      </c>
      <c r="C22" s="13"/>
      <c r="D22" s="13"/>
    </row>
    <row r="23" spans="1:4" x14ac:dyDescent="0.2">
      <c r="A23" s="6" t="s">
        <v>42</v>
      </c>
      <c r="B23" s="7"/>
    </row>
    <row r="25" spans="1:4" x14ac:dyDescent="0.2">
      <c r="A25" s="4" t="s">
        <v>52</v>
      </c>
      <c r="B25" s="12" t="s">
        <v>53</v>
      </c>
      <c r="C25" s="12"/>
      <c r="D25" s="12"/>
    </row>
    <row r="26" spans="1:4" x14ac:dyDescent="0.2">
      <c r="A26" s="5" t="s">
        <v>40</v>
      </c>
      <c r="B26" s="13" t="s">
        <v>54</v>
      </c>
      <c r="C26" s="13"/>
      <c r="D26" s="13"/>
    </row>
    <row r="27" spans="1:4" x14ac:dyDescent="0.2">
      <c r="A27" s="6" t="s">
        <v>42</v>
      </c>
      <c r="B27" s="7"/>
    </row>
    <row r="29" spans="1:4" ht="16" x14ac:dyDescent="0.2">
      <c r="A29" s="11" t="s">
        <v>55</v>
      </c>
      <c r="B29" s="11"/>
      <c r="C29" s="11"/>
      <c r="D29" s="11"/>
    </row>
    <row r="30" spans="1:4" x14ac:dyDescent="0.2">
      <c r="A30" s="1" t="s">
        <v>56</v>
      </c>
      <c r="B30" s="1" t="s">
        <v>57</v>
      </c>
      <c r="C30" s="1" t="s">
        <v>3</v>
      </c>
    </row>
    <row r="31" spans="1:4" x14ac:dyDescent="0.2">
      <c r="A31" t="s">
        <v>58</v>
      </c>
      <c r="B31" t="str">
        <f>IF(B11="","",ROUND(INDEX(Listas!$C$2:$C$7,MATCH(B11,Listas!$B$2:$B$7,0))/5*10,1))</f>
        <v/>
      </c>
      <c r="C31" t="str">
        <f>IF(B11="","",INDEX(Listas!$D$2:$D$7,MATCH(B11,Listas!$B$2:$B$7,0)))</f>
        <v/>
      </c>
    </row>
    <row r="32" spans="1:4" x14ac:dyDescent="0.2">
      <c r="A32" t="s">
        <v>59</v>
      </c>
      <c r="B32" t="str">
        <f>IF(B15="","",ROUND(INDEX(Listas!$F$2:$F$7,MATCH(B15,Listas!$E$2:$E$7,0))/5*10,1))</f>
        <v/>
      </c>
      <c r="C32" t="str">
        <f>IF(B15="","",INDEX(Listas!$G$2:$G$7,MATCH(B15,Listas!$E$2:$E$7,0)))</f>
        <v/>
      </c>
    </row>
    <row r="33" spans="1:3" x14ac:dyDescent="0.2">
      <c r="A33" t="s">
        <v>60</v>
      </c>
      <c r="B33" t="str">
        <f>IF(B19="","",ROUND(INDEX(Listas!$C$2:$C$7,MATCH(B19,Listas!$B$2:$B$7,0))/5*10,1))</f>
        <v/>
      </c>
      <c r="C33" t="str">
        <f>IF(B19="","",INDEX(Listas!$D$2:$D$7,MATCH(B19,Listas!$B$2:$B$7,0)))</f>
        <v/>
      </c>
    </row>
    <row r="34" spans="1:3" x14ac:dyDescent="0.2">
      <c r="A34" t="s">
        <v>61</v>
      </c>
      <c r="B34" t="str">
        <f>IF(B23="","",ROUND(INDEX(Listas!$I$2:$I$7,MATCH(B23,Listas!$H$2:$H$7,0))/5*10,1))</f>
        <v/>
      </c>
      <c r="C34" t="str">
        <f>IF(B23="","",INDEX(Listas!$J$2:$J$7,MATCH(B23,Listas!$H$2:$H$7,0)))</f>
        <v/>
      </c>
    </row>
    <row r="35" spans="1:3" x14ac:dyDescent="0.2">
      <c r="A35" t="s">
        <v>62</v>
      </c>
      <c r="B35" t="str">
        <f>IF(B27="","",ROUND(INDEX(Listas!$L$2:$L$7,MATCH(B27,Listas!$K$2:$K$7,0))/5*10,1))</f>
        <v/>
      </c>
      <c r="C35" t="str">
        <f>IF(B27="","",INDEX(Listas!$M$2:$M$7,MATCH(B27,Listas!$K$2:$K$7,0)))</f>
        <v/>
      </c>
    </row>
    <row r="37" spans="1:3" ht="16" x14ac:dyDescent="0.2">
      <c r="A37" s="6" t="s">
        <v>63</v>
      </c>
      <c r="B37" s="8" t="str">
        <f>IF(COUNT(B31:B35)=0,"",ROUND(AVERAGE(B31:B35),1))</f>
        <v/>
      </c>
    </row>
    <row r="38" spans="1:3" x14ac:dyDescent="0.2">
      <c r="A38" t="s">
        <v>64</v>
      </c>
      <c r="B38" t="str">
        <f>IF(COUNT(B31:B33)=0,"",ROUND(AVERAGE(B31:B33),1))</f>
        <v/>
      </c>
    </row>
    <row r="39" spans="1:3" x14ac:dyDescent="0.2">
      <c r="A39" t="s">
        <v>65</v>
      </c>
      <c r="B39" t="str">
        <f>IF(COUNT(B34:B35)=0,"",ROUND(AVERAGE(B34:B35),1))</f>
        <v/>
      </c>
    </row>
  </sheetData>
  <mergeCells count="15">
    <mergeCell ref="B25:D25"/>
    <mergeCell ref="B26:D26"/>
    <mergeCell ref="A29:D29"/>
    <mergeCell ref="B13:D13"/>
    <mergeCell ref="B14:D14"/>
    <mergeCell ref="B17:D17"/>
    <mergeCell ref="B18:D18"/>
    <mergeCell ref="B21:D21"/>
    <mergeCell ref="B22:D22"/>
    <mergeCell ref="A1:D1"/>
    <mergeCell ref="A2:D2"/>
    <mergeCell ref="A4:D4"/>
    <mergeCell ref="A8:D8"/>
    <mergeCell ref="B9:D9"/>
    <mergeCell ref="B10:D10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Opción inválida" error="Selecciona un valor de la lista desplegable." xr:uid="{FFBF70C2-A283-F543-A22C-A4155FDEE126}">
          <x14:formula1>
            <xm:f>Listas!$A$2:$A$11</xm:f>
          </x14:formula1>
          <xm:sqref>B6</xm:sqref>
        </x14:dataValidation>
        <x14:dataValidation type="list" allowBlank="1" showErrorMessage="1" errorTitle="Opción inválida" error="Selecciona un valor de la lista desplegable." xr:uid="{25EEE7A4-1567-6943-807F-8C27555FB531}">
          <x14:formula1>
            <xm:f>Listas!$K$2:$K$7</xm:f>
          </x14:formula1>
          <xm:sqref>B27</xm:sqref>
        </x14:dataValidation>
        <x14:dataValidation type="list" allowBlank="1" showErrorMessage="1" errorTitle="Opción inválida" error="Selecciona un valor de la lista desplegable." xr:uid="{AFBDAC4E-0629-C34E-91A6-E62AFD33C139}">
          <x14:formula1>
            <xm:f>Listas!$H$2:$H$7</xm:f>
          </x14:formula1>
          <xm:sqref>B23</xm:sqref>
        </x14:dataValidation>
        <x14:dataValidation type="list" allowBlank="1" showErrorMessage="1" errorTitle="Opción inválida" error="Selecciona un valor de la lista desplegable." xr:uid="{31521E38-DDD9-0A49-9F42-766A377197B1}">
          <x14:formula1>
            <xm:f>Listas!$E$2:$E$7</xm:f>
          </x14:formula1>
          <xm:sqref>B15</xm:sqref>
        </x14:dataValidation>
        <x14:dataValidation type="list" allowBlank="1" showErrorMessage="1" errorTitle="Opción inválida" error="Selecciona un valor de la lista desplegable." xr:uid="{6F3B358E-AC7F-AD4C-A268-96774278DB35}">
          <x14:formula1>
            <xm:f>Listas!$B$2:$B$7</xm:f>
          </x14:formula1>
          <xm:sqref>B11 B19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B703-E804-E249-B497-1A7C26F5E76F}">
  <dimension ref="A1:D39"/>
  <sheetViews>
    <sheetView workbookViewId="0">
      <pane ySplit="3" topLeftCell="A4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22" customWidth="1"/>
    <col min="2" max="2" width="58" customWidth="1"/>
    <col min="3" max="4" width="14" customWidth="1"/>
  </cols>
  <sheetData>
    <row r="1" spans="1:4" ht="21" x14ac:dyDescent="0.2">
      <c r="A1" s="9" t="s">
        <v>32</v>
      </c>
      <c r="B1" s="9"/>
      <c r="C1" s="9"/>
      <c r="D1" s="9"/>
    </row>
    <row r="2" spans="1:4" x14ac:dyDescent="0.2">
      <c r="A2" s="10" t="s">
        <v>33</v>
      </c>
      <c r="B2" s="10"/>
      <c r="C2" s="10"/>
      <c r="D2" s="10"/>
    </row>
    <row r="4" spans="1:4" ht="16" x14ac:dyDescent="0.2">
      <c r="A4" s="11" t="s">
        <v>34</v>
      </c>
      <c r="B4" s="11"/>
      <c r="C4" s="11"/>
      <c r="D4" s="11"/>
    </row>
    <row r="5" spans="1:4" ht="16" x14ac:dyDescent="0.2">
      <c r="A5" s="2" t="s">
        <v>35</v>
      </c>
      <c r="B5" s="3" t="s">
        <v>75</v>
      </c>
    </row>
    <row r="6" spans="1:4" ht="16" x14ac:dyDescent="0.2">
      <c r="A6" s="2" t="s">
        <v>36</v>
      </c>
      <c r="B6" s="3"/>
    </row>
    <row r="8" spans="1:4" ht="16" x14ac:dyDescent="0.2">
      <c r="A8" s="11" t="s">
        <v>37</v>
      </c>
      <c r="B8" s="11"/>
      <c r="C8" s="11"/>
      <c r="D8" s="11"/>
    </row>
    <row r="9" spans="1:4" x14ac:dyDescent="0.2">
      <c r="A9" s="4" t="s">
        <v>38</v>
      </c>
      <c r="B9" s="12" t="s">
        <v>39</v>
      </c>
      <c r="C9" s="12"/>
      <c r="D9" s="12"/>
    </row>
    <row r="10" spans="1:4" x14ac:dyDescent="0.2">
      <c r="A10" s="5" t="s">
        <v>40</v>
      </c>
      <c r="B10" s="13" t="s">
        <v>41</v>
      </c>
      <c r="C10" s="13"/>
      <c r="D10" s="13"/>
    </row>
    <row r="11" spans="1:4" x14ac:dyDescent="0.2">
      <c r="A11" s="6" t="s">
        <v>42</v>
      </c>
      <c r="B11" s="7"/>
    </row>
    <row r="13" spans="1:4" x14ac:dyDescent="0.2">
      <c r="A13" s="4" t="s">
        <v>43</v>
      </c>
      <c r="B13" s="12" t="s">
        <v>44</v>
      </c>
      <c r="C13" s="12"/>
      <c r="D13" s="12"/>
    </row>
    <row r="14" spans="1:4" x14ac:dyDescent="0.2">
      <c r="A14" s="5" t="s">
        <v>40</v>
      </c>
      <c r="B14" s="13" t="s">
        <v>45</v>
      </c>
      <c r="C14" s="13"/>
      <c r="D14" s="13"/>
    </row>
    <row r="15" spans="1:4" x14ac:dyDescent="0.2">
      <c r="A15" s="6" t="s">
        <v>42</v>
      </c>
      <c r="B15" s="7"/>
    </row>
    <row r="17" spans="1:4" x14ac:dyDescent="0.2">
      <c r="A17" s="4" t="s">
        <v>46</v>
      </c>
      <c r="B17" s="12" t="s">
        <v>47</v>
      </c>
      <c r="C17" s="12"/>
      <c r="D17" s="12"/>
    </row>
    <row r="18" spans="1:4" x14ac:dyDescent="0.2">
      <c r="A18" s="5" t="s">
        <v>40</v>
      </c>
      <c r="B18" s="13" t="s">
        <v>48</v>
      </c>
      <c r="C18" s="13"/>
      <c r="D18" s="13"/>
    </row>
    <row r="19" spans="1:4" x14ac:dyDescent="0.2">
      <c r="A19" s="6" t="s">
        <v>42</v>
      </c>
      <c r="B19" s="7"/>
    </row>
    <row r="21" spans="1:4" x14ac:dyDescent="0.2">
      <c r="A21" s="4" t="s">
        <v>49</v>
      </c>
      <c r="B21" s="12" t="s">
        <v>50</v>
      </c>
      <c r="C21" s="12"/>
      <c r="D21" s="12"/>
    </row>
    <row r="22" spans="1:4" x14ac:dyDescent="0.2">
      <c r="A22" s="5" t="s">
        <v>40</v>
      </c>
      <c r="B22" s="13" t="s">
        <v>51</v>
      </c>
      <c r="C22" s="13"/>
      <c r="D22" s="13"/>
    </row>
    <row r="23" spans="1:4" x14ac:dyDescent="0.2">
      <c r="A23" s="6" t="s">
        <v>42</v>
      </c>
      <c r="B23" s="7"/>
    </row>
    <row r="25" spans="1:4" x14ac:dyDescent="0.2">
      <c r="A25" s="4" t="s">
        <v>52</v>
      </c>
      <c r="B25" s="12" t="s">
        <v>53</v>
      </c>
      <c r="C25" s="12"/>
      <c r="D25" s="12"/>
    </row>
    <row r="26" spans="1:4" x14ac:dyDescent="0.2">
      <c r="A26" s="5" t="s">
        <v>40</v>
      </c>
      <c r="B26" s="13" t="s">
        <v>54</v>
      </c>
      <c r="C26" s="13"/>
      <c r="D26" s="13"/>
    </row>
    <row r="27" spans="1:4" x14ac:dyDescent="0.2">
      <c r="A27" s="6" t="s">
        <v>42</v>
      </c>
      <c r="B27" s="7"/>
    </row>
    <row r="29" spans="1:4" ht="16" x14ac:dyDescent="0.2">
      <c r="A29" s="11" t="s">
        <v>55</v>
      </c>
      <c r="B29" s="11"/>
      <c r="C29" s="11"/>
      <c r="D29" s="11"/>
    </row>
    <row r="30" spans="1:4" x14ac:dyDescent="0.2">
      <c r="A30" s="1" t="s">
        <v>56</v>
      </c>
      <c r="B30" s="1" t="s">
        <v>57</v>
      </c>
      <c r="C30" s="1" t="s">
        <v>3</v>
      </c>
    </row>
    <row r="31" spans="1:4" x14ac:dyDescent="0.2">
      <c r="A31" t="s">
        <v>58</v>
      </c>
      <c r="B31" t="str">
        <f>IF(B11="","",ROUND(INDEX(Listas!$C$2:$C$7,MATCH(B11,Listas!$B$2:$B$7,0))/5*10,1))</f>
        <v/>
      </c>
      <c r="C31" t="str">
        <f>IF(B11="","",INDEX(Listas!$D$2:$D$7,MATCH(B11,Listas!$B$2:$B$7,0)))</f>
        <v/>
      </c>
    </row>
    <row r="32" spans="1:4" x14ac:dyDescent="0.2">
      <c r="A32" t="s">
        <v>59</v>
      </c>
      <c r="B32" t="str">
        <f>IF(B15="","",ROUND(INDEX(Listas!$F$2:$F$7,MATCH(B15,Listas!$E$2:$E$7,0))/5*10,1))</f>
        <v/>
      </c>
      <c r="C32" t="str">
        <f>IF(B15="","",INDEX(Listas!$G$2:$G$7,MATCH(B15,Listas!$E$2:$E$7,0)))</f>
        <v/>
      </c>
    </row>
    <row r="33" spans="1:3" x14ac:dyDescent="0.2">
      <c r="A33" t="s">
        <v>60</v>
      </c>
      <c r="B33" t="str">
        <f>IF(B19="","",ROUND(INDEX(Listas!$C$2:$C$7,MATCH(B19,Listas!$B$2:$B$7,0))/5*10,1))</f>
        <v/>
      </c>
      <c r="C33" t="str">
        <f>IF(B19="","",INDEX(Listas!$D$2:$D$7,MATCH(B19,Listas!$B$2:$B$7,0)))</f>
        <v/>
      </c>
    </row>
    <row r="34" spans="1:3" x14ac:dyDescent="0.2">
      <c r="A34" t="s">
        <v>61</v>
      </c>
      <c r="B34" t="str">
        <f>IF(B23="","",ROUND(INDEX(Listas!$I$2:$I$7,MATCH(B23,Listas!$H$2:$H$7,0))/5*10,1))</f>
        <v/>
      </c>
      <c r="C34" t="str">
        <f>IF(B23="","",INDEX(Listas!$J$2:$J$7,MATCH(B23,Listas!$H$2:$H$7,0)))</f>
        <v/>
      </c>
    </row>
    <row r="35" spans="1:3" x14ac:dyDescent="0.2">
      <c r="A35" t="s">
        <v>62</v>
      </c>
      <c r="B35" t="str">
        <f>IF(B27="","",ROUND(INDEX(Listas!$L$2:$L$7,MATCH(B27,Listas!$K$2:$K$7,0))/5*10,1))</f>
        <v/>
      </c>
      <c r="C35" t="str">
        <f>IF(B27="","",INDEX(Listas!$M$2:$M$7,MATCH(B27,Listas!$K$2:$K$7,0)))</f>
        <v/>
      </c>
    </row>
    <row r="37" spans="1:3" ht="16" x14ac:dyDescent="0.2">
      <c r="A37" s="6" t="s">
        <v>63</v>
      </c>
      <c r="B37" s="8" t="str">
        <f>IF(COUNT(B31:B35)=0,"",ROUND(AVERAGE(B31:B35),1))</f>
        <v/>
      </c>
    </row>
    <row r="38" spans="1:3" x14ac:dyDescent="0.2">
      <c r="A38" t="s">
        <v>64</v>
      </c>
      <c r="B38" t="str">
        <f>IF(COUNT(B31:B33)=0,"",ROUND(AVERAGE(B31:B33),1))</f>
        <v/>
      </c>
    </row>
    <row r="39" spans="1:3" x14ac:dyDescent="0.2">
      <c r="A39" t="s">
        <v>65</v>
      </c>
      <c r="B39" t="str">
        <f>IF(COUNT(B34:B35)=0,"",ROUND(AVERAGE(B34:B35),1))</f>
        <v/>
      </c>
    </row>
  </sheetData>
  <mergeCells count="15">
    <mergeCell ref="B25:D25"/>
    <mergeCell ref="B26:D26"/>
    <mergeCell ref="A29:D29"/>
    <mergeCell ref="B13:D13"/>
    <mergeCell ref="B14:D14"/>
    <mergeCell ref="B17:D17"/>
    <mergeCell ref="B18:D18"/>
    <mergeCell ref="B21:D21"/>
    <mergeCell ref="B22:D22"/>
    <mergeCell ref="A1:D1"/>
    <mergeCell ref="A2:D2"/>
    <mergeCell ref="A4:D4"/>
    <mergeCell ref="A8:D8"/>
    <mergeCell ref="B9:D9"/>
    <mergeCell ref="B10:D10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Opción inválida" error="Selecciona un valor de la lista desplegable." xr:uid="{5EF895A7-83D1-BA42-B52E-0CC4CCF7AF20}">
          <x14:formula1>
            <xm:f>Listas!$A$2:$A$11</xm:f>
          </x14:formula1>
          <xm:sqref>B6</xm:sqref>
        </x14:dataValidation>
        <x14:dataValidation type="list" allowBlank="1" showErrorMessage="1" errorTitle="Opción inválida" error="Selecciona un valor de la lista desplegable." xr:uid="{F2C052C9-3BC4-4449-B193-8DD2BE259259}">
          <x14:formula1>
            <xm:f>Listas!$K$2:$K$7</xm:f>
          </x14:formula1>
          <xm:sqref>B27</xm:sqref>
        </x14:dataValidation>
        <x14:dataValidation type="list" allowBlank="1" showErrorMessage="1" errorTitle="Opción inválida" error="Selecciona un valor de la lista desplegable." xr:uid="{2490CD56-E3A5-C241-BC4A-2EE0BFFC40CA}">
          <x14:formula1>
            <xm:f>Listas!$H$2:$H$7</xm:f>
          </x14:formula1>
          <xm:sqref>B23</xm:sqref>
        </x14:dataValidation>
        <x14:dataValidation type="list" allowBlank="1" showErrorMessage="1" errorTitle="Opción inválida" error="Selecciona un valor de la lista desplegable." xr:uid="{2D8E0FF6-62B1-2B4E-AF18-6ED118192A20}">
          <x14:formula1>
            <xm:f>Listas!$E$2:$E$7</xm:f>
          </x14:formula1>
          <xm:sqref>B15</xm:sqref>
        </x14:dataValidation>
        <x14:dataValidation type="list" allowBlank="1" showErrorMessage="1" errorTitle="Opción inválida" error="Selecciona un valor de la lista desplegable." xr:uid="{66C71D7F-636D-6A4C-9782-2E193E75E9D3}">
          <x14:formula1>
            <xm:f>Listas!$B$2:$B$7</xm:f>
          </x14:formula1>
          <xm:sqref>B11 B19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Listas</vt:lpstr>
      <vt:lpstr>Metricas Monica</vt:lpstr>
      <vt:lpstr>Metricas Anthony</vt:lpstr>
      <vt:lpstr>Metricas Gerson</vt:lpstr>
      <vt:lpstr>Metricas Fredy</vt:lpstr>
      <vt:lpstr>Metricas Jose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2026-08-14T04:10:22Z</dcterms:created>
  <dcterms:modified xsi:type="dcterms:W3CDTF">2026-08-14T04:29:19Z</dcterms:modified>
  <cp:category/>
</cp:coreProperties>
</file>