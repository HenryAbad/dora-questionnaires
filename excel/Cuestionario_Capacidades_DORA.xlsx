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2"/>
  <workbookPr filterPrivacy="1"/>
  <xr:revisionPtr revIDLastSave="0" documentId="13_ncr:1_{E94E796E-361D-5E4A-A504-225C8FDA0353}" xr6:coauthVersionLast="47" xr6:coauthVersionMax="47" xr10:uidLastSave="{00000000-0000-0000-0000-000000000000}"/>
  <bookViews>
    <workbookView xWindow="14440" yWindow="600" windowWidth="23960" windowHeight="19580" activeTab="1" xr2:uid="{00000000-000D-0000-FFFF-FFFF00000000}"/>
  </bookViews>
  <sheets>
    <sheet name="Listas" sheetId="1" r:id="rId1"/>
    <sheet name="Cuestionario Capacidad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2" l="1"/>
  <c r="C127" i="2" s="1"/>
  <c r="B122" i="2"/>
  <c r="C122" i="2" s="1"/>
  <c r="B114" i="2"/>
  <c r="C114" i="2" s="1"/>
  <c r="D108" i="2"/>
  <c r="D107" i="2"/>
  <c r="D106" i="2"/>
  <c r="B130" i="2" s="1"/>
  <c r="C130" i="2" s="1"/>
  <c r="D104" i="2"/>
  <c r="D103" i="2"/>
  <c r="D102" i="2"/>
  <c r="B129" i="2" s="1"/>
  <c r="C129" i="2" s="1"/>
  <c r="D100" i="2"/>
  <c r="D99" i="2"/>
  <c r="B128" i="2" s="1"/>
  <c r="C128" i="2" s="1"/>
  <c r="D98" i="2"/>
  <c r="D97" i="2"/>
  <c r="D95" i="2"/>
  <c r="D94" i="2"/>
  <c r="D93" i="2"/>
  <c r="D91" i="2"/>
  <c r="D90" i="2"/>
  <c r="D89" i="2"/>
  <c r="B126" i="2" s="1"/>
  <c r="C126" i="2" s="1"/>
  <c r="D88" i="2"/>
  <c r="D87" i="2"/>
  <c r="D86" i="2"/>
  <c r="D84" i="2"/>
  <c r="D83" i="2"/>
  <c r="D82" i="2"/>
  <c r="B125" i="2" s="1"/>
  <c r="C125" i="2" s="1"/>
  <c r="D80" i="2"/>
  <c r="D79" i="2"/>
  <c r="D78" i="2"/>
  <c r="D77" i="2"/>
  <c r="D76" i="2"/>
  <c r="D75" i="2"/>
  <c r="B124" i="2" s="1"/>
  <c r="C124" i="2" s="1"/>
  <c r="D73" i="2"/>
  <c r="D72" i="2"/>
  <c r="D71" i="2"/>
  <c r="D70" i="2"/>
  <c r="B123" i="2" s="1"/>
  <c r="C123" i="2" s="1"/>
  <c r="D69" i="2"/>
  <c r="D67" i="2"/>
  <c r="D66" i="2"/>
  <c r="D65" i="2"/>
  <c r="D64" i="2"/>
  <c r="D63" i="2"/>
  <c r="D62" i="2"/>
  <c r="D60" i="2"/>
  <c r="D59" i="2"/>
  <c r="D58" i="2"/>
  <c r="B121" i="2" s="1"/>
  <c r="C121" i="2" s="1"/>
  <c r="D56" i="2"/>
  <c r="D55" i="2"/>
  <c r="B120" i="2" s="1"/>
  <c r="C120" i="2" s="1"/>
  <c r="D54" i="2"/>
  <c r="D53" i="2"/>
  <c r="D52" i="2"/>
  <c r="D51" i="2"/>
  <c r="D49" i="2"/>
  <c r="D48" i="2"/>
  <c r="D47" i="2"/>
  <c r="D46" i="2"/>
  <c r="B119" i="2" s="1"/>
  <c r="C119" i="2" s="1"/>
  <c r="D44" i="2"/>
  <c r="D43" i="2"/>
  <c r="D42" i="2"/>
  <c r="B118" i="2" s="1"/>
  <c r="C118" i="2" s="1"/>
  <c r="D40" i="2"/>
  <c r="D39" i="2"/>
  <c r="D38" i="2"/>
  <c r="D37" i="2"/>
  <c r="D36" i="2"/>
  <c r="D35" i="2"/>
  <c r="D34" i="2"/>
  <c r="D33" i="2"/>
  <c r="B117" i="2" s="1"/>
  <c r="C117" i="2" s="1"/>
  <c r="D31" i="2"/>
  <c r="D30" i="2"/>
  <c r="D29" i="2"/>
  <c r="B116" i="2" s="1"/>
  <c r="C116" i="2" s="1"/>
  <c r="D27" i="2"/>
  <c r="D26" i="2"/>
  <c r="B115" i="2" s="1"/>
  <c r="C115" i="2" s="1"/>
  <c r="D25" i="2"/>
  <c r="D23" i="2"/>
  <c r="D22" i="2"/>
  <c r="D21" i="2"/>
  <c r="D20" i="2"/>
  <c r="D18" i="2"/>
  <c r="D17" i="2"/>
  <c r="D16" i="2"/>
  <c r="D15" i="2"/>
  <c r="D14" i="2"/>
  <c r="B113" i="2" s="1"/>
  <c r="C113" i="2" s="1"/>
  <c r="D12" i="2"/>
  <c r="D11" i="2"/>
  <c r="D10" i="2"/>
  <c r="B112" i="2" l="1"/>
  <c r="C112" i="2" s="1"/>
  <c r="B132" i="2" l="1"/>
  <c r="C132" i="2" s="1"/>
</calcChain>
</file>

<file path=xl/sharedStrings.xml><?xml version="1.0" encoding="utf-8"?>
<sst xmlns="http://schemas.openxmlformats.org/spreadsheetml/2006/main" count="230" uniqueCount="140">
  <si>
    <t>Aplicaciones</t>
  </si>
  <si>
    <t>Likert</t>
  </si>
  <si>
    <t>Valor</t>
  </si>
  <si>
    <t>Totalmente en desacuerdo</t>
  </si>
  <si>
    <t>En desacuerdo</t>
  </si>
  <si>
    <t>Ni de acuerdo ni en desacuerdo</t>
  </si>
  <si>
    <t>De acuerdo</t>
  </si>
  <si>
    <t>Totalmente de acuerdo</t>
  </si>
  <si>
    <t>Cuestionario de Capacidades DORA Core</t>
  </si>
  <si>
    <t>Encuesta Likert · Basado en dora.dev/research (2022–2025) · Selecciona opciones desde los combos</t>
  </si>
  <si>
    <t>DATOS DEL EVALUADOR</t>
  </si>
  <si>
    <t>Nombre completo</t>
  </si>
  <si>
    <t>Aplicación / Servicio ▼</t>
  </si>
  <si>
    <t>AFIRMACIONES POR CAPACIDAD (escala Likert)</t>
  </si>
  <si>
    <t>Capacidad</t>
  </si>
  <si>
    <t>Afirmación</t>
  </si>
  <si>
    <t>Respuesta ▼</t>
  </si>
  <si>
    <t>Fuente DORA</t>
  </si>
  <si>
    <t>Mantenibilidad del código</t>
  </si>
  <si>
    <t>Es fácil para el equipo encontrar ejemplos en el código base, reutilizar código de otros y modificar código mantenido por otros equipos si es necesario.</t>
  </si>
  <si>
    <t>DORA Capabilities Research</t>
  </si>
  <si>
    <t/>
  </si>
  <si>
    <t>Es fácil para el equipo agregar nuevas dependencias a su proyecto y migrar a una nueva versión de una dependencia.</t>
  </si>
  <si>
    <t>Las dependencias del equipo son estables y rara vez rompen el código.</t>
  </si>
  <si>
    <t>Entrega continua</t>
  </si>
  <si>
    <t>El feedback rápido sobre la calidad y desplegabilidad del sistema está disponible para cualquier persona del equipo.</t>
  </si>
  <si>
    <t>DORA Research 2022 — Continuous Delivery</t>
  </si>
  <si>
    <t>Mi equipo prioriza mantener el software desplegable por encima de trabajar en nuevas funcionalidades.</t>
  </si>
  <si>
    <t>Nuestro software se mantiene en un estado desplegable a lo largo de todo su ciclo de vida.</t>
  </si>
  <si>
    <t>Podemos desplegar nuestro sistema a producción, o a los usuarios finales, en cualquier momento y bajo demanda.</t>
  </si>
  <si>
    <t>Cuando las personas reciben feedback de que el sistema no es desplegable (como builds o tests fallidos), priorizan arreglar esos problemas.</t>
  </si>
  <si>
    <t>Integración continua</t>
  </si>
  <si>
    <t>Los builds y tests automatizados se ejecutan con éxito todos los días.</t>
  </si>
  <si>
    <t>DORA Research 2022 — Continuous Integration</t>
  </si>
  <si>
    <t>Los fallos en tests automatizados bloquearán el avance de un commit en el pipeline.</t>
  </si>
  <si>
    <t>Los commits de código activan una serie de tests automatizados.</t>
  </si>
  <si>
    <t>Los commits de código resultan en un build automatizado del software.</t>
  </si>
  <si>
    <t>Gestión de cambios en base de datos</t>
  </si>
  <si>
    <t>Todos los cambios de base de datos se almacenan en control de versiones junto con el código de aplicación.</t>
  </si>
  <si>
    <t>Existe una herramienta que registra qué cambios de base de datos se han ejecutado en cada entorno.</t>
  </si>
  <si>
    <t>Los cambios de esquema de base de datos se prueban contra datos similares a producción antes del despliegue.</t>
  </si>
  <si>
    <t>Automatización de despliegues</t>
  </si>
  <si>
    <t>Cualquier persona con las credenciales necesarias puede desplegar cualquier versión a cualquier entorno de forma totalmente automatizada.</t>
  </si>
  <si>
    <t>Utilizamos el mismo proceso de despliegue para todos los entornos, incluida producción.</t>
  </si>
  <si>
    <t>Utilizamos los mismos paquetes para todos los entornos, manteniendo la configuración específica separada.</t>
  </si>
  <si>
    <t>Calidad de documentación</t>
  </si>
  <si>
    <t>Puedo confiar en nuestra documentación técnica cuando necesito usar o trabajar con los servicios o aplicaciones en los que trabajo.</t>
  </si>
  <si>
    <t>DORA Research 2022 — Documentation</t>
  </si>
  <si>
    <t>Es fácil para mí entender nuestra documentación técnica.</t>
  </si>
  <si>
    <t>Es fácil encontrar el documento técnico correcto cuando necesito entender algo sobre los servicios o aplicaciones en los que trabajo.</t>
  </si>
  <si>
    <t>La mayor parte del código de los servicios o aplicaciones con los que trabajo está documentado.</t>
  </si>
  <si>
    <t>Nuestra documentación técnica está bien organizada.</t>
  </si>
  <si>
    <t>La documentación técnica se actualiza cuando se realizan cambios.</t>
  </si>
  <si>
    <t>La documentación técnica refleja correctamente las capacidades y requisitos del servicio o aplicación principal en el que trabajo.</t>
  </si>
  <si>
    <t>Cuando hay un incidente o problema que requiere troubleshooting, recurro a la documentación.</t>
  </si>
  <si>
    <t>Empoderar equipos para elegir herramientas</t>
  </si>
  <si>
    <t>Nuestro equipo puede seleccionar herramientas que mejor se adapten a sus necesidades dentro de directrices organizacionales.</t>
  </si>
  <si>
    <t>Se nos anima a experimentar con nuevas herramientas y compartir aprendizajes con otros equipos.</t>
  </si>
  <si>
    <t>Existe un proceso documentado para evaluar y adoptar nuevas tecnologías fuera del conjunto base de herramientas.</t>
  </si>
  <si>
    <t>Infraestructura flexible</t>
  </si>
  <si>
    <t>Puedo aumentar o disminuir dinámicamente los recursos en la nube disponibles para el servicio o producto que principalmente soporto según la demanda.</t>
  </si>
  <si>
    <t>DORA Research 2022 — Cloud Computing</t>
  </si>
  <si>
    <t>Puedo monitorear o controlar la cantidad y/o el costo de los recursos en la nube utilizados por el servicio o producto que principalmente soporto.</t>
  </si>
  <si>
    <t>Una vez que tengo acceso, puedo aprovisionar y configurar de forma independiente los recursos y capacidades en la nube requeridos para mi producto o servicio bajo demanda, sin crear tickets ni requerir interacción humana.</t>
  </si>
  <si>
    <t>La nube en la que corre mi producto o servicio atiende a múltiples equipos y aplicaciones, con recursos de cómputo e infraestructura asignados y reasignados dinámicamente según la demanda.</t>
  </si>
  <si>
    <t>Cultura organizacional generativa</t>
  </si>
  <si>
    <t>La colaboración entre funciones (cross-functional) es alentada y recompensada.</t>
  </si>
  <si>
    <t>DORA Research 2022 — Generative Organizational Culture</t>
  </si>
  <si>
    <t>Los fallos se tratan principalmente como oportunidades para mejorar el sistema.</t>
  </si>
  <si>
    <t>La información se busca activamente.</t>
  </si>
  <si>
    <t>A los mensajeros no se les castiga cuando entregan noticias de fallos u otras malas noticias.</t>
  </si>
  <si>
    <t>Las nuevas ideas son bienvenidas.</t>
  </si>
  <si>
    <t>Las responsabilidades se comparten.</t>
  </si>
  <si>
    <t>Satisfacción laboral</t>
  </si>
  <si>
    <t>Tengo las herramientas y recursos necesarios para realizar mi trabajo de forma efectiva.</t>
  </si>
  <si>
    <t>Mi criterio y experiencia son valorados al tomar decisiones técnicas.</t>
  </si>
  <si>
    <t>Es probable que recomiende a mi equipo como un buen lugar para trabajar a un amigo o colega.</t>
  </si>
  <si>
    <t>Equipos débilmente acoplados</t>
  </si>
  <si>
    <t>Mi equipo puede desplegar y liberar nuestro producto o servicio bajo demanda, de forma independiente de otros servicios de los que dependemos.</t>
  </si>
  <si>
    <t>DORA Research 2022 — Architecture</t>
  </si>
  <si>
    <t>En mi equipo, podemos hacer cambios de gran escala en el diseño de nuestro sistema sin crear trabajo significativo para otros equipos.</t>
  </si>
  <si>
    <t>En mi equipo, podemos hacer cambios de gran escala en el diseño de nuestro sistema sin depender de que otros equipos hagan cambios en sus sistemas.</t>
  </si>
  <si>
    <t>En mi equipo, realizamos despliegues durante el horario laboral normal con tiempo de inactividad insignificante.</t>
  </si>
  <si>
    <t>Para completar mi propio trabajo, no necesito comunicarme y coordinarme con personas fuera de mi equipo.</t>
  </si>
  <si>
    <t>Podemos realizar la mayor parte de nuestras pruebas bajo demanda, sin requerir un entorno de pruebas integrado.</t>
  </si>
  <si>
    <t>Monitoreo y observabilidad</t>
  </si>
  <si>
    <t>Sé cuál fue la confiabilidad real en el periodo más reciente.</t>
  </si>
  <si>
    <t>DORA Research 2022 — Reliability</t>
  </si>
  <si>
    <t>Tiene objetivos de confiabilidad bien definidos (como SLAs/SLOs) que se comunican claramente entre el equipo y a los clientes.</t>
  </si>
  <si>
    <t>Mi equipo revisa y ajusta regularmente los objetivos de confiabilidad basándose en evidencia.</t>
  </si>
  <si>
    <t>Se realizan revisiones de confiabilidad durante todo el proceso de desarrollo para todas las funcionalidades principales de las aplicaciones en las que trabajo.</t>
  </si>
  <si>
    <t>Cuando no cumplimos nuestros objetivos de confiabilidad, realizamos trabajo de mejora y/o re-priorizamos.</t>
  </si>
  <si>
    <t>Seguridad integrada</t>
  </si>
  <si>
    <t>En mi empresa, el protocolo de seguridad de software está integrado de forma transparente en nuestro proceso de desarrollo.</t>
  </si>
  <si>
    <t>DORA Research 2022 — Security</t>
  </si>
  <si>
    <t>En mi empresa, tenemos un proceso estandarizado para abordar la seguridad de software en todos los proyectos.</t>
  </si>
  <si>
    <t>Tengo acceso a las herramientas necesarias para ejecutar pruebas de seguridad.</t>
  </si>
  <si>
    <t>Se realiza revisión de seguridad para todas las funcionalidades principales de las aplicaciones en las que trabajo.</t>
  </si>
  <si>
    <t>Los roles de seguridad están integrados en nuestro equipo de desarrollo de software.</t>
  </si>
  <si>
    <t>Las pruebas de seguridad se ejecutan temprano en el proceso de desarrollo de software, ya sea por mí o por otro equipo.</t>
  </si>
  <si>
    <t>Agilizar aprobación de cambios</t>
  </si>
  <si>
    <t>Los cambios se aprueban mediante revisiones entre pares durante el desarrollo, en lugar de procesos de aprobación externos extensos.</t>
  </si>
  <si>
    <t>Las pruebas automatizadas y la integración continua detectan cambios defectuosos temprano en el ciclo de vida.</t>
  </si>
  <si>
    <t>Podemos implementar mejoras menores sin pasar por procesos burocráticos prolongados de aprobación de cambios.</t>
  </si>
  <si>
    <t>Automatización de pruebas</t>
  </si>
  <si>
    <t>Los fallos en tests automatizados suelen indicar un defecto real.</t>
  </si>
  <si>
    <t>DORA Research 2025 — Test Automation</t>
  </si>
  <si>
    <t>Puedo obtener feedback de los tests automatizados en menos de diez minutos.</t>
  </si>
  <si>
    <t>Es fácil para los desarrolladores reproducir fallos de tests.</t>
  </si>
  <si>
    <t>Tenemos los datos de prueba necesarios para ejecutar nuestros tests automatizados fácilmente en cada etapa.</t>
  </si>
  <si>
    <t>Cuando los tests automatizados pasan, confío en que el software es desplegable.</t>
  </si>
  <si>
    <t>Gestión de datos de prueba</t>
  </si>
  <si>
    <t>Los tests pueden ejecutarse de forma independiente y repetible sin depender de estado compartido mutable.</t>
  </si>
  <si>
    <t>Los datos de prueba se gestionan de forma que los tests automatizados puedan crear y limpiar sus propios datos.</t>
  </si>
  <si>
    <t>Control de versiones</t>
  </si>
  <si>
    <t>Nuestro código de aplicación está en un sistema de control de versiones.</t>
  </si>
  <si>
    <t>DORA Research 2022 — Version Control</t>
  </si>
  <si>
    <t>Las configuraciones de nuestra aplicación están en un sistema de control de versiones.</t>
  </si>
  <si>
    <t>Nuestros scripts para automatizar build y configuración están en un sistema de control de versiones.</t>
  </si>
  <si>
    <t>Las configuraciones de nuestro sistema están en un sistema de control de versiones.</t>
  </si>
  <si>
    <t>Bienestar</t>
  </si>
  <si>
    <t>Desplegar a producción no genera ansiedad significativa en nuestro equipo.</t>
  </si>
  <si>
    <t>DORA Capabilities Research — Well-being</t>
  </si>
  <si>
    <t>Dedicamos más tiempo a trabajo proactivo que a retrabajo reactivo e imprevisto.</t>
  </si>
  <si>
    <t>Las interrupciones y el trabajo no planificado representan una porción menor de nuestro tiempo total de trabajo.</t>
  </si>
  <si>
    <t>Trabajo en lotes pequeños</t>
  </si>
  <si>
    <t>Todos los desarrolladores de mi equipo envían código al trunk / rama main al menos una vez al día.</t>
  </si>
  <si>
    <t>DORA Research 2022 — Trunk-Based Development</t>
  </si>
  <si>
    <t>Las ramas y forks tienen tiempos de vida muy cortos (menos de un día) antes de fusionarse con la rama principal.</t>
  </si>
  <si>
    <t>Hay menos de tres ramas activas en el repositorio de código de la aplicación.</t>
  </si>
  <si>
    <t>RESULTADOS POR CAPACIDAD</t>
  </si>
  <si>
    <t>Promedio /5</t>
  </si>
  <si>
    <t>Nivel</t>
  </si>
  <si>
    <t>Puntuación general /5</t>
  </si>
  <si>
    <t>App AUNA</t>
  </si>
  <si>
    <t>Teleconsulta</t>
  </si>
  <si>
    <t>Toyota Hospitalario</t>
  </si>
  <si>
    <t>Toyota Ambulatorio</t>
  </si>
  <si>
    <t>Laboratorio</t>
  </si>
  <si>
    <t>Portal AUNA 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</si>
</sst>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6"/>
      <color rgb="FF4285F4"/>
      <name val="Calibri"/>
      <family val="2"/>
    </font>
    <font>
      <i/>
      <sz val="10"/>
      <color rgb="FF666666"/>
      <name val="Calibri"/>
      <family val="2"/>
    </font>
    <font>
      <b/>
      <sz val="12"/>
      <color rgb="FF1A1A1A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4285F4"/>
      <name val="Calibri"/>
      <family val="2"/>
    </font>
    <font>
      <sz val="11"/>
      <color rgb="FF888888"/>
      <name val="Calibri"/>
      <family val="2"/>
    </font>
    <font>
      <sz val="9"/>
      <color rgb="FF888888"/>
      <name val="Calibri"/>
      <family val="2"/>
    </font>
    <font>
      <b/>
      <sz val="12"/>
      <name val="Calibri"/>
      <family val="2"/>
    </font>
    <font>
      <b/>
      <sz val="1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BBF04"/>
      </patternFill>
    </fill>
    <fill>
      <patternFill patternType="solid">
        <fgColor rgb="FFF8F9FA"/>
      </patternFill>
    </fill>
    <fill>
      <patternFill patternType="solid">
        <fgColor rgb="FFE8F0FE"/>
      </patternFill>
    </fill>
    <fill>
      <patternFill patternType="solid">
        <fgColor rgb="FF4285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5" fillId="0" borderId="0" xfId="0" applyFont="1"/>
    <xf numFmtId="0" fontId="0" fillId="3" borderId="0" xfId="0" applyFill="1"/>
    <xf numFmtId="0" fontId="0" fillId="4" borderId="0" xfId="0" applyFill="1"/>
    <xf numFmtId="0" fontId="7" fillId="0" borderId="0" xfId="0" applyFont="1"/>
    <xf numFmtId="0" fontId="0" fillId="0" borderId="0" xfId="0" applyAlignment="1">
      <alignment vertical="top" wrapText="1"/>
    </xf>
    <xf numFmtId="0" fontId="8" fillId="0" borderId="0" xfId="0" applyFont="1"/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6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J22" sqref="J22"/>
    </sheetView>
  </sheetViews>
  <sheetFormatPr baseColWidth="10" defaultColWidth="8.83203125" defaultRowHeight="15" x14ac:dyDescent="0.2"/>
  <cols>
    <col min="1" max="1" width="30.5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134</v>
      </c>
      <c r="B2" t="s">
        <v>3</v>
      </c>
      <c r="C2">
        <v>1</v>
      </c>
    </row>
    <row r="3" spans="1:3" x14ac:dyDescent="0.2">
      <c r="A3" t="s">
        <v>135</v>
      </c>
      <c r="B3" t="s">
        <v>4</v>
      </c>
      <c r="C3">
        <v>2</v>
      </c>
    </row>
    <row r="4" spans="1:3" x14ac:dyDescent="0.2">
      <c r="A4" t="s">
        <v>136</v>
      </c>
      <c r="B4" t="s">
        <v>5</v>
      </c>
      <c r="C4">
        <v>3</v>
      </c>
    </row>
    <row r="5" spans="1:3" x14ac:dyDescent="0.2">
      <c r="A5" t="s">
        <v>137</v>
      </c>
      <c r="B5" t="s">
        <v>6</v>
      </c>
      <c r="C5">
        <v>4</v>
      </c>
    </row>
    <row r="6" spans="1:3" x14ac:dyDescent="0.2">
      <c r="A6" t="s">
        <v>138</v>
      </c>
      <c r="B6" t="s">
        <v>7</v>
      </c>
      <c r="C6">
        <v>5</v>
      </c>
    </row>
    <row r="7" spans="1:3" x14ac:dyDescent="0.2">
      <c r="A7" t="s">
        <v>139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2"/>
  <sheetViews>
    <sheetView tabSelected="1" workbookViewId="0">
      <pane ySplit="3" topLeftCell="A4" activePane="bottomLeft" state="frozen"/>
      <selection pane="bottomLeft" activeCell="B10" sqref="B10"/>
    </sheetView>
  </sheetViews>
  <sheetFormatPr baseColWidth="10" defaultColWidth="8.83203125" defaultRowHeight="15" x14ac:dyDescent="0.2"/>
  <cols>
    <col min="1" max="1" width="28" customWidth="1"/>
    <col min="2" max="2" width="62" customWidth="1"/>
    <col min="3" max="3" width="32" customWidth="1"/>
    <col min="4" max="4" width="10" customWidth="1"/>
    <col min="5" max="5" width="22" customWidth="1"/>
  </cols>
  <sheetData>
    <row r="1" spans="1:5" ht="21" x14ac:dyDescent="0.25">
      <c r="A1" s="11" t="s">
        <v>8</v>
      </c>
      <c r="B1" s="11"/>
      <c r="C1" s="11"/>
      <c r="D1" s="11"/>
      <c r="E1" s="11"/>
    </row>
    <row r="2" spans="1:5" x14ac:dyDescent="0.2">
      <c r="A2" s="12" t="s">
        <v>9</v>
      </c>
      <c r="B2" s="12"/>
      <c r="C2" s="12"/>
      <c r="D2" s="12"/>
      <c r="E2" s="12"/>
    </row>
    <row r="4" spans="1:5" ht="16" x14ac:dyDescent="0.2">
      <c r="A4" s="13" t="s">
        <v>10</v>
      </c>
      <c r="B4" s="13"/>
      <c r="C4" s="13"/>
      <c r="D4" s="13"/>
      <c r="E4" s="13"/>
    </row>
    <row r="5" spans="1:5" x14ac:dyDescent="0.2">
      <c r="A5" s="2" t="s">
        <v>11</v>
      </c>
      <c r="B5" s="3"/>
    </row>
    <row r="6" spans="1:5" x14ac:dyDescent="0.2">
      <c r="A6" s="2" t="s">
        <v>12</v>
      </c>
      <c r="B6" s="4"/>
    </row>
    <row r="8" spans="1:5" x14ac:dyDescent="0.2">
      <c r="A8" s="14" t="s">
        <v>13</v>
      </c>
      <c r="B8" s="14"/>
      <c r="C8" s="14"/>
      <c r="D8" s="14"/>
      <c r="E8" s="14"/>
    </row>
    <row r="9" spans="1:5" x14ac:dyDescent="0.2">
      <c r="A9" s="1" t="s">
        <v>14</v>
      </c>
      <c r="B9" s="1" t="s">
        <v>15</v>
      </c>
      <c r="C9" s="1" t="s">
        <v>16</v>
      </c>
      <c r="D9" s="1" t="s">
        <v>2</v>
      </c>
      <c r="E9" s="1" t="s">
        <v>17</v>
      </c>
    </row>
    <row r="10" spans="1:5" ht="32" x14ac:dyDescent="0.2">
      <c r="A10" s="5" t="s">
        <v>18</v>
      </c>
      <c r="B10" s="6" t="s">
        <v>19</v>
      </c>
      <c r="C10" s="4"/>
      <c r="D10" s="7" t="str">
        <f>IF(C10="","",INDEX(Listas!$C$2:$C$6,MATCH(C10,Listas!$B$2:$B$6,0)))</f>
        <v/>
      </c>
      <c r="E10" s="8" t="s">
        <v>20</v>
      </c>
    </row>
    <row r="11" spans="1:5" ht="32" x14ac:dyDescent="0.2">
      <c r="A11" t="s">
        <v>21</v>
      </c>
      <c r="B11" s="6" t="s">
        <v>22</v>
      </c>
      <c r="C11" s="4"/>
      <c r="D11" s="7" t="str">
        <f>IF(C11="","",INDEX(Listas!$C$2:$C$6,MATCH(C11,Listas!$B$2:$B$6,0)))</f>
        <v/>
      </c>
    </row>
    <row r="12" spans="1:5" ht="16" x14ac:dyDescent="0.2">
      <c r="A12" t="s">
        <v>21</v>
      </c>
      <c r="B12" s="6" t="s">
        <v>23</v>
      </c>
      <c r="C12" s="4"/>
      <c r="D12" s="7" t="str">
        <f>IF(C12="","",INDEX(Listas!$C$2:$C$6,MATCH(C12,Listas!$B$2:$B$6,0)))</f>
        <v/>
      </c>
    </row>
    <row r="14" spans="1:5" ht="32" x14ac:dyDescent="0.2">
      <c r="A14" s="5" t="s">
        <v>24</v>
      </c>
      <c r="B14" s="6" t="s">
        <v>25</v>
      </c>
      <c r="C14" s="4"/>
      <c r="D14" s="7" t="str">
        <f>IF(C14="","",INDEX(Listas!$C$2:$C$6,MATCH(C14,Listas!$B$2:$B$6,0)))</f>
        <v/>
      </c>
      <c r="E14" s="8" t="s">
        <v>26</v>
      </c>
    </row>
    <row r="15" spans="1:5" ht="32" x14ac:dyDescent="0.2">
      <c r="A15" t="s">
        <v>21</v>
      </c>
      <c r="B15" s="6" t="s">
        <v>27</v>
      </c>
      <c r="C15" s="4"/>
      <c r="D15" s="7" t="str">
        <f>IF(C15="","",INDEX(Listas!$C$2:$C$6,MATCH(C15,Listas!$B$2:$B$6,0)))</f>
        <v/>
      </c>
    </row>
    <row r="16" spans="1:5" ht="32" x14ac:dyDescent="0.2">
      <c r="A16" t="s">
        <v>21</v>
      </c>
      <c r="B16" s="6" t="s">
        <v>28</v>
      </c>
      <c r="C16" s="4"/>
      <c r="D16" s="7" t="str">
        <f>IF(C16="","",INDEX(Listas!$C$2:$C$6,MATCH(C16,Listas!$B$2:$B$6,0)))</f>
        <v/>
      </c>
    </row>
    <row r="17" spans="1:5" ht="32" x14ac:dyDescent="0.2">
      <c r="A17" t="s">
        <v>21</v>
      </c>
      <c r="B17" s="6" t="s">
        <v>29</v>
      </c>
      <c r="C17" s="4"/>
      <c r="D17" s="7" t="str">
        <f>IF(C17="","",INDEX(Listas!$C$2:$C$6,MATCH(C17,Listas!$B$2:$B$6,0)))</f>
        <v/>
      </c>
    </row>
    <row r="18" spans="1:5" ht="32" x14ac:dyDescent="0.2">
      <c r="A18" t="s">
        <v>21</v>
      </c>
      <c r="B18" s="6" t="s">
        <v>30</v>
      </c>
      <c r="C18" s="4"/>
      <c r="D18" s="7" t="str">
        <f>IF(C18="","",INDEX(Listas!$C$2:$C$6,MATCH(C18,Listas!$B$2:$B$6,0)))</f>
        <v/>
      </c>
    </row>
    <row r="20" spans="1:5" ht="26" x14ac:dyDescent="0.2">
      <c r="A20" s="5" t="s">
        <v>31</v>
      </c>
      <c r="B20" s="6" t="s">
        <v>32</v>
      </c>
      <c r="C20" s="4"/>
      <c r="D20" s="7" t="str">
        <f>IF(C20="","",INDEX(Listas!$C$2:$C$6,MATCH(C20,Listas!$B$2:$B$6,0)))</f>
        <v/>
      </c>
      <c r="E20" s="8" t="s">
        <v>33</v>
      </c>
    </row>
    <row r="21" spans="1:5" ht="32" x14ac:dyDescent="0.2">
      <c r="A21" t="s">
        <v>21</v>
      </c>
      <c r="B21" s="6" t="s">
        <v>34</v>
      </c>
      <c r="C21" s="4"/>
      <c r="D21" s="7" t="str">
        <f>IF(C21="","",INDEX(Listas!$C$2:$C$6,MATCH(C21,Listas!$B$2:$B$6,0)))</f>
        <v/>
      </c>
    </row>
    <row r="22" spans="1:5" ht="16" x14ac:dyDescent="0.2">
      <c r="A22" t="s">
        <v>21</v>
      </c>
      <c r="B22" s="6" t="s">
        <v>35</v>
      </c>
      <c r="C22" s="4"/>
      <c r="D22" s="7" t="str">
        <f>IF(C22="","",INDEX(Listas!$C$2:$C$6,MATCH(C22,Listas!$B$2:$B$6,0)))</f>
        <v/>
      </c>
    </row>
    <row r="23" spans="1:5" ht="16" x14ac:dyDescent="0.2">
      <c r="A23" t="s">
        <v>21</v>
      </c>
      <c r="B23" s="6" t="s">
        <v>36</v>
      </c>
      <c r="C23" s="4"/>
      <c r="D23" s="7" t="str">
        <f>IF(C23="","",INDEX(Listas!$C$2:$C$6,MATCH(C23,Listas!$B$2:$B$6,0)))</f>
        <v/>
      </c>
    </row>
    <row r="25" spans="1:5" ht="32" x14ac:dyDescent="0.2">
      <c r="A25" s="5" t="s">
        <v>37</v>
      </c>
      <c r="B25" s="6" t="s">
        <v>38</v>
      </c>
      <c r="C25" s="4"/>
      <c r="D25" s="7" t="str">
        <f>IF(C25="","",INDEX(Listas!$C$2:$C$6,MATCH(C25,Listas!$B$2:$B$6,0)))</f>
        <v/>
      </c>
      <c r="E25" s="8" t="s">
        <v>20</v>
      </c>
    </row>
    <row r="26" spans="1:5" ht="32" x14ac:dyDescent="0.2">
      <c r="A26" t="s">
        <v>21</v>
      </c>
      <c r="B26" s="6" t="s">
        <v>39</v>
      </c>
      <c r="C26" s="4"/>
      <c r="D26" s="7" t="str">
        <f>IF(C26="","",INDEX(Listas!$C$2:$C$6,MATCH(C26,Listas!$B$2:$B$6,0)))</f>
        <v/>
      </c>
    </row>
    <row r="27" spans="1:5" ht="32" x14ac:dyDescent="0.2">
      <c r="A27" t="s">
        <v>21</v>
      </c>
      <c r="B27" s="6" t="s">
        <v>40</v>
      </c>
      <c r="C27" s="4"/>
      <c r="D27" s="7" t="str">
        <f>IF(C27="","",INDEX(Listas!$C$2:$C$6,MATCH(C27,Listas!$B$2:$B$6,0)))</f>
        <v/>
      </c>
    </row>
    <row r="29" spans="1:5" ht="32" x14ac:dyDescent="0.2">
      <c r="A29" s="5" t="s">
        <v>41</v>
      </c>
      <c r="B29" s="6" t="s">
        <v>42</v>
      </c>
      <c r="C29" s="4"/>
      <c r="D29" s="7" t="str">
        <f>IF(C29="","",INDEX(Listas!$C$2:$C$6,MATCH(C29,Listas!$B$2:$B$6,0)))</f>
        <v/>
      </c>
      <c r="E29" s="8" t="s">
        <v>20</v>
      </c>
    </row>
    <row r="30" spans="1:5" ht="32" x14ac:dyDescent="0.2">
      <c r="A30" t="s">
        <v>21</v>
      </c>
      <c r="B30" s="6" t="s">
        <v>43</v>
      </c>
      <c r="C30" s="4"/>
      <c r="D30" s="7" t="str">
        <f>IF(C30="","",INDEX(Listas!$C$2:$C$6,MATCH(C30,Listas!$B$2:$B$6,0)))</f>
        <v/>
      </c>
    </row>
    <row r="31" spans="1:5" ht="32" x14ac:dyDescent="0.2">
      <c r="A31" t="s">
        <v>21</v>
      </c>
      <c r="B31" s="6" t="s">
        <v>44</v>
      </c>
      <c r="C31" s="4"/>
      <c r="D31" s="7" t="str">
        <f>IF(C31="","",INDEX(Listas!$C$2:$C$6,MATCH(C31,Listas!$B$2:$B$6,0)))</f>
        <v/>
      </c>
    </row>
    <row r="33" spans="1:5" ht="32" x14ac:dyDescent="0.2">
      <c r="A33" s="5" t="s">
        <v>45</v>
      </c>
      <c r="B33" s="6" t="s">
        <v>46</v>
      </c>
      <c r="C33" s="4"/>
      <c r="D33" s="7" t="str">
        <f>IF(C33="","",INDEX(Listas!$C$2:$C$6,MATCH(C33,Listas!$B$2:$B$6,0)))</f>
        <v/>
      </c>
      <c r="E33" s="8" t="s">
        <v>47</v>
      </c>
    </row>
    <row r="34" spans="1:5" ht="16" x14ac:dyDescent="0.2">
      <c r="A34" t="s">
        <v>21</v>
      </c>
      <c r="B34" s="6" t="s">
        <v>48</v>
      </c>
      <c r="C34" s="4"/>
      <c r="D34" s="7" t="str">
        <f>IF(C34="","",INDEX(Listas!$C$2:$C$6,MATCH(C34,Listas!$B$2:$B$6,0)))</f>
        <v/>
      </c>
    </row>
    <row r="35" spans="1:5" ht="32" x14ac:dyDescent="0.2">
      <c r="A35" t="s">
        <v>21</v>
      </c>
      <c r="B35" s="6" t="s">
        <v>49</v>
      </c>
      <c r="C35" s="4"/>
      <c r="D35" s="7" t="str">
        <f>IF(C35="","",INDEX(Listas!$C$2:$C$6,MATCH(C35,Listas!$B$2:$B$6,0)))</f>
        <v/>
      </c>
    </row>
    <row r="36" spans="1:5" ht="32" x14ac:dyDescent="0.2">
      <c r="A36" t="s">
        <v>21</v>
      </c>
      <c r="B36" s="6" t="s">
        <v>50</v>
      </c>
      <c r="C36" s="4"/>
      <c r="D36" s="7" t="str">
        <f>IF(C36="","",INDEX(Listas!$C$2:$C$6,MATCH(C36,Listas!$B$2:$B$6,0)))</f>
        <v/>
      </c>
    </row>
    <row r="37" spans="1:5" ht="16" x14ac:dyDescent="0.2">
      <c r="A37" t="s">
        <v>21</v>
      </c>
      <c r="B37" s="6" t="s">
        <v>51</v>
      </c>
      <c r="C37" s="4"/>
      <c r="D37" s="7" t="str">
        <f>IF(C37="","",INDEX(Listas!$C$2:$C$6,MATCH(C37,Listas!$B$2:$B$6,0)))</f>
        <v/>
      </c>
    </row>
    <row r="38" spans="1:5" ht="16" x14ac:dyDescent="0.2">
      <c r="A38" t="s">
        <v>21</v>
      </c>
      <c r="B38" s="6" t="s">
        <v>52</v>
      </c>
      <c r="C38" s="4"/>
      <c r="D38" s="7" t="str">
        <f>IF(C38="","",INDEX(Listas!$C$2:$C$6,MATCH(C38,Listas!$B$2:$B$6,0)))</f>
        <v/>
      </c>
    </row>
    <row r="39" spans="1:5" ht="32" x14ac:dyDescent="0.2">
      <c r="A39" t="s">
        <v>21</v>
      </c>
      <c r="B39" s="6" t="s">
        <v>53</v>
      </c>
      <c r="C39" s="4"/>
      <c r="D39" s="7" t="str">
        <f>IF(C39="","",INDEX(Listas!$C$2:$C$6,MATCH(C39,Listas!$B$2:$B$6,0)))</f>
        <v/>
      </c>
    </row>
    <row r="40" spans="1:5" ht="32" x14ac:dyDescent="0.2">
      <c r="A40" t="s">
        <v>21</v>
      </c>
      <c r="B40" s="6" t="s">
        <v>54</v>
      </c>
      <c r="C40" s="4"/>
      <c r="D40" s="7" t="str">
        <f>IF(C40="","",INDEX(Listas!$C$2:$C$6,MATCH(C40,Listas!$B$2:$B$6,0)))</f>
        <v/>
      </c>
    </row>
    <row r="42" spans="1:5" ht="32" x14ac:dyDescent="0.2">
      <c r="A42" s="5" t="s">
        <v>55</v>
      </c>
      <c r="B42" s="6" t="s">
        <v>56</v>
      </c>
      <c r="C42" s="4"/>
      <c r="D42" s="7" t="str">
        <f>IF(C42="","",INDEX(Listas!$C$2:$C$6,MATCH(C42,Listas!$B$2:$B$6,0)))</f>
        <v/>
      </c>
      <c r="E42" s="8" t="s">
        <v>20</v>
      </c>
    </row>
    <row r="43" spans="1:5" ht="32" x14ac:dyDescent="0.2">
      <c r="A43" t="s">
        <v>21</v>
      </c>
      <c r="B43" s="6" t="s">
        <v>57</v>
      </c>
      <c r="C43" s="4"/>
      <c r="D43" s="7" t="str">
        <f>IF(C43="","",INDEX(Listas!$C$2:$C$6,MATCH(C43,Listas!$B$2:$B$6,0)))</f>
        <v/>
      </c>
    </row>
    <row r="44" spans="1:5" ht="32" x14ac:dyDescent="0.2">
      <c r="A44" t="s">
        <v>21</v>
      </c>
      <c r="B44" s="6" t="s">
        <v>58</v>
      </c>
      <c r="C44" s="4"/>
      <c r="D44" s="7" t="str">
        <f>IF(C44="","",INDEX(Listas!$C$2:$C$6,MATCH(C44,Listas!$B$2:$B$6,0)))</f>
        <v/>
      </c>
    </row>
    <row r="46" spans="1:5" ht="48" x14ac:dyDescent="0.2">
      <c r="A46" s="5" t="s">
        <v>59</v>
      </c>
      <c r="B46" s="6" t="s">
        <v>60</v>
      </c>
      <c r="C46" s="4"/>
      <c r="D46" s="7" t="str">
        <f>IF(C46="","",INDEX(Listas!$C$2:$C$6,MATCH(C46,Listas!$B$2:$B$6,0)))</f>
        <v/>
      </c>
      <c r="E46" s="8" t="s">
        <v>61</v>
      </c>
    </row>
    <row r="47" spans="1:5" ht="32" x14ac:dyDescent="0.2">
      <c r="A47" t="s">
        <v>21</v>
      </c>
      <c r="B47" s="6" t="s">
        <v>62</v>
      </c>
      <c r="C47" s="4"/>
      <c r="D47" s="7" t="str">
        <f>IF(C47="","",INDEX(Listas!$C$2:$C$6,MATCH(C47,Listas!$B$2:$B$6,0)))</f>
        <v/>
      </c>
    </row>
    <row r="48" spans="1:5" ht="64" x14ac:dyDescent="0.2">
      <c r="A48" t="s">
        <v>21</v>
      </c>
      <c r="B48" s="6" t="s">
        <v>63</v>
      </c>
      <c r="C48" s="4"/>
      <c r="D48" s="7" t="str">
        <f>IF(C48="","",INDEX(Listas!$C$2:$C$6,MATCH(C48,Listas!$B$2:$B$6,0)))</f>
        <v/>
      </c>
    </row>
    <row r="49" spans="1:5" ht="48" x14ac:dyDescent="0.2">
      <c r="A49" t="s">
        <v>21</v>
      </c>
      <c r="B49" s="6" t="s">
        <v>64</v>
      </c>
      <c r="C49" s="4"/>
      <c r="D49" s="7" t="str">
        <f>IF(C49="","",INDEX(Listas!$C$2:$C$6,MATCH(C49,Listas!$B$2:$B$6,0)))</f>
        <v/>
      </c>
    </row>
    <row r="51" spans="1:5" ht="26" x14ac:dyDescent="0.2">
      <c r="A51" s="5" t="s">
        <v>65</v>
      </c>
      <c r="B51" s="6" t="s">
        <v>66</v>
      </c>
      <c r="C51" s="4"/>
      <c r="D51" s="7" t="str">
        <f>IF(C51="","",INDEX(Listas!$C$2:$C$6,MATCH(C51,Listas!$B$2:$B$6,0)))</f>
        <v/>
      </c>
      <c r="E51" s="8" t="s">
        <v>67</v>
      </c>
    </row>
    <row r="52" spans="1:5" ht="32" x14ac:dyDescent="0.2">
      <c r="A52" t="s">
        <v>21</v>
      </c>
      <c r="B52" s="6" t="s">
        <v>68</v>
      </c>
      <c r="C52" s="4"/>
      <c r="D52" s="7" t="str">
        <f>IF(C52="","",INDEX(Listas!$C$2:$C$6,MATCH(C52,Listas!$B$2:$B$6,0)))</f>
        <v/>
      </c>
    </row>
    <row r="53" spans="1:5" ht="16" x14ac:dyDescent="0.2">
      <c r="A53" t="s">
        <v>21</v>
      </c>
      <c r="B53" s="6" t="s">
        <v>69</v>
      </c>
      <c r="C53" s="4"/>
      <c r="D53" s="7" t="str">
        <f>IF(C53="","",INDEX(Listas!$C$2:$C$6,MATCH(C53,Listas!$B$2:$B$6,0)))</f>
        <v/>
      </c>
    </row>
    <row r="54" spans="1:5" ht="32" x14ac:dyDescent="0.2">
      <c r="A54" t="s">
        <v>21</v>
      </c>
      <c r="B54" s="6" t="s">
        <v>70</v>
      </c>
      <c r="C54" s="4"/>
      <c r="D54" s="7" t="str">
        <f>IF(C54="","",INDEX(Listas!$C$2:$C$6,MATCH(C54,Listas!$B$2:$B$6,0)))</f>
        <v/>
      </c>
    </row>
    <row r="55" spans="1:5" ht="16" x14ac:dyDescent="0.2">
      <c r="A55" t="s">
        <v>21</v>
      </c>
      <c r="B55" s="6" t="s">
        <v>71</v>
      </c>
      <c r="C55" s="4"/>
      <c r="D55" s="7" t="str">
        <f>IF(C55="","",INDEX(Listas!$C$2:$C$6,MATCH(C55,Listas!$B$2:$B$6,0)))</f>
        <v/>
      </c>
    </row>
    <row r="56" spans="1:5" ht="16" x14ac:dyDescent="0.2">
      <c r="A56" t="s">
        <v>21</v>
      </c>
      <c r="B56" s="6" t="s">
        <v>72</v>
      </c>
      <c r="C56" s="4"/>
      <c r="D56" s="7" t="str">
        <f>IF(C56="","",INDEX(Listas!$C$2:$C$6,MATCH(C56,Listas!$B$2:$B$6,0)))</f>
        <v/>
      </c>
    </row>
    <row r="58" spans="1:5" ht="32" x14ac:dyDescent="0.2">
      <c r="A58" s="5" t="s">
        <v>73</v>
      </c>
      <c r="B58" s="6" t="s">
        <v>74</v>
      </c>
      <c r="C58" s="4"/>
      <c r="D58" s="7" t="str">
        <f>IF(C58="","",INDEX(Listas!$C$2:$C$6,MATCH(C58,Listas!$B$2:$B$6,0)))</f>
        <v/>
      </c>
      <c r="E58" s="8" t="s">
        <v>20</v>
      </c>
    </row>
    <row r="59" spans="1:5" ht="16" x14ac:dyDescent="0.2">
      <c r="A59" t="s">
        <v>21</v>
      </c>
      <c r="B59" s="6" t="s">
        <v>75</v>
      </c>
      <c r="C59" s="4"/>
      <c r="D59" s="7" t="str">
        <f>IF(C59="","",INDEX(Listas!$C$2:$C$6,MATCH(C59,Listas!$B$2:$B$6,0)))</f>
        <v/>
      </c>
    </row>
    <row r="60" spans="1:5" ht="32" x14ac:dyDescent="0.2">
      <c r="A60" t="s">
        <v>21</v>
      </c>
      <c r="B60" s="6" t="s">
        <v>76</v>
      </c>
      <c r="C60" s="4"/>
      <c r="D60" s="7" t="str">
        <f>IF(C60="","",INDEX(Listas!$C$2:$C$6,MATCH(C60,Listas!$B$2:$B$6,0)))</f>
        <v/>
      </c>
    </row>
    <row r="62" spans="1:5" ht="32" x14ac:dyDescent="0.2">
      <c r="A62" s="5" t="s">
        <v>77</v>
      </c>
      <c r="B62" s="6" t="s">
        <v>78</v>
      </c>
      <c r="C62" s="4"/>
      <c r="D62" s="7" t="str">
        <f>IF(C62="","",INDEX(Listas!$C$2:$C$6,MATCH(C62,Listas!$B$2:$B$6,0)))</f>
        <v/>
      </c>
      <c r="E62" s="8" t="s">
        <v>79</v>
      </c>
    </row>
    <row r="63" spans="1:5" ht="32" x14ac:dyDescent="0.2">
      <c r="A63" t="s">
        <v>21</v>
      </c>
      <c r="B63" s="6" t="s">
        <v>80</v>
      </c>
      <c r="C63" s="4"/>
      <c r="D63" s="7" t="str">
        <f>IF(C63="","",INDEX(Listas!$C$2:$C$6,MATCH(C63,Listas!$B$2:$B$6,0)))</f>
        <v/>
      </c>
    </row>
    <row r="64" spans="1:5" ht="32" x14ac:dyDescent="0.2">
      <c r="A64" t="s">
        <v>21</v>
      </c>
      <c r="B64" s="6" t="s">
        <v>81</v>
      </c>
      <c r="C64" s="4"/>
      <c r="D64" s="7" t="str">
        <f>IF(C64="","",INDEX(Listas!$C$2:$C$6,MATCH(C64,Listas!$B$2:$B$6,0)))</f>
        <v/>
      </c>
    </row>
    <row r="65" spans="1:5" ht="32" x14ac:dyDescent="0.2">
      <c r="A65" t="s">
        <v>21</v>
      </c>
      <c r="B65" s="6" t="s">
        <v>82</v>
      </c>
      <c r="C65" s="4"/>
      <c r="D65" s="7" t="str">
        <f>IF(C65="","",INDEX(Listas!$C$2:$C$6,MATCH(C65,Listas!$B$2:$B$6,0)))</f>
        <v/>
      </c>
    </row>
    <row r="66" spans="1:5" ht="32" x14ac:dyDescent="0.2">
      <c r="A66" t="s">
        <v>21</v>
      </c>
      <c r="B66" s="6" t="s">
        <v>83</v>
      </c>
      <c r="C66" s="4"/>
      <c r="D66" s="7" t="str">
        <f>IF(C66="","",INDEX(Listas!$C$2:$C$6,MATCH(C66,Listas!$B$2:$B$6,0)))</f>
        <v/>
      </c>
    </row>
    <row r="67" spans="1:5" ht="32" x14ac:dyDescent="0.2">
      <c r="A67" t="s">
        <v>21</v>
      </c>
      <c r="B67" s="6" t="s">
        <v>84</v>
      </c>
      <c r="C67" s="4"/>
      <c r="D67" s="7" t="str">
        <f>IF(C67="","",INDEX(Listas!$C$2:$C$6,MATCH(C67,Listas!$B$2:$B$6,0)))</f>
        <v/>
      </c>
    </row>
    <row r="69" spans="1:5" ht="26" x14ac:dyDescent="0.2">
      <c r="A69" s="5" t="s">
        <v>85</v>
      </c>
      <c r="B69" s="6" t="s">
        <v>86</v>
      </c>
      <c r="C69" s="4"/>
      <c r="D69" s="7" t="str">
        <f>IF(C69="","",INDEX(Listas!$C$2:$C$6,MATCH(C69,Listas!$B$2:$B$6,0)))</f>
        <v/>
      </c>
      <c r="E69" s="8" t="s">
        <v>87</v>
      </c>
    </row>
    <row r="70" spans="1:5" ht="32" x14ac:dyDescent="0.2">
      <c r="A70" t="s">
        <v>21</v>
      </c>
      <c r="B70" s="6" t="s">
        <v>88</v>
      </c>
      <c r="C70" s="4"/>
      <c r="D70" s="7" t="str">
        <f>IF(C70="","",INDEX(Listas!$C$2:$C$6,MATCH(C70,Listas!$B$2:$B$6,0)))</f>
        <v/>
      </c>
    </row>
    <row r="71" spans="1:5" ht="32" x14ac:dyDescent="0.2">
      <c r="A71" t="s">
        <v>21</v>
      </c>
      <c r="B71" s="6" t="s">
        <v>89</v>
      </c>
      <c r="C71" s="4"/>
      <c r="D71" s="7" t="str">
        <f>IF(C71="","",INDEX(Listas!$C$2:$C$6,MATCH(C71,Listas!$B$2:$B$6,0)))</f>
        <v/>
      </c>
    </row>
    <row r="72" spans="1:5" ht="32" x14ac:dyDescent="0.2">
      <c r="A72" t="s">
        <v>21</v>
      </c>
      <c r="B72" s="6" t="s">
        <v>90</v>
      </c>
      <c r="C72" s="4"/>
      <c r="D72" s="7" t="str">
        <f>IF(C72="","",INDEX(Listas!$C$2:$C$6,MATCH(C72,Listas!$B$2:$B$6,0)))</f>
        <v/>
      </c>
    </row>
    <row r="73" spans="1:5" ht="32" x14ac:dyDescent="0.2">
      <c r="A73" t="s">
        <v>21</v>
      </c>
      <c r="B73" s="6" t="s">
        <v>91</v>
      </c>
      <c r="C73" s="4"/>
      <c r="D73" s="7" t="str">
        <f>IF(C73="","",INDEX(Listas!$C$2:$C$6,MATCH(C73,Listas!$B$2:$B$6,0)))</f>
        <v/>
      </c>
    </row>
    <row r="75" spans="1:5" ht="32" x14ac:dyDescent="0.2">
      <c r="A75" s="5" t="s">
        <v>92</v>
      </c>
      <c r="B75" s="6" t="s">
        <v>93</v>
      </c>
      <c r="C75" s="4"/>
      <c r="D75" s="7" t="str">
        <f>IF(C75="","",INDEX(Listas!$C$2:$C$6,MATCH(C75,Listas!$B$2:$B$6,0)))</f>
        <v/>
      </c>
      <c r="E75" s="8" t="s">
        <v>94</v>
      </c>
    </row>
    <row r="76" spans="1:5" ht="32" x14ac:dyDescent="0.2">
      <c r="A76" t="s">
        <v>21</v>
      </c>
      <c r="B76" s="6" t="s">
        <v>95</v>
      </c>
      <c r="C76" s="4"/>
      <c r="D76" s="7" t="str">
        <f>IF(C76="","",INDEX(Listas!$C$2:$C$6,MATCH(C76,Listas!$B$2:$B$6,0)))</f>
        <v/>
      </c>
    </row>
    <row r="77" spans="1:5" ht="16" x14ac:dyDescent="0.2">
      <c r="A77" t="s">
        <v>21</v>
      </c>
      <c r="B77" s="6" t="s">
        <v>96</v>
      </c>
      <c r="C77" s="4"/>
      <c r="D77" s="7" t="str">
        <f>IF(C77="","",INDEX(Listas!$C$2:$C$6,MATCH(C77,Listas!$B$2:$B$6,0)))</f>
        <v/>
      </c>
    </row>
    <row r="78" spans="1:5" ht="32" x14ac:dyDescent="0.2">
      <c r="A78" t="s">
        <v>21</v>
      </c>
      <c r="B78" s="6" t="s">
        <v>97</v>
      </c>
      <c r="C78" s="4"/>
      <c r="D78" s="7" t="str">
        <f>IF(C78="","",INDEX(Listas!$C$2:$C$6,MATCH(C78,Listas!$B$2:$B$6,0)))</f>
        <v/>
      </c>
    </row>
    <row r="79" spans="1:5" ht="32" x14ac:dyDescent="0.2">
      <c r="A79" t="s">
        <v>21</v>
      </c>
      <c r="B79" s="6" t="s">
        <v>98</v>
      </c>
      <c r="C79" s="4"/>
      <c r="D79" s="7" t="str">
        <f>IF(C79="","",INDEX(Listas!$C$2:$C$6,MATCH(C79,Listas!$B$2:$B$6,0)))</f>
        <v/>
      </c>
    </row>
    <row r="80" spans="1:5" ht="32" x14ac:dyDescent="0.2">
      <c r="A80" t="s">
        <v>21</v>
      </c>
      <c r="B80" s="6" t="s">
        <v>99</v>
      </c>
      <c r="C80" s="4"/>
      <c r="D80" s="7" t="str">
        <f>IF(C80="","",INDEX(Listas!$C$2:$C$6,MATCH(C80,Listas!$B$2:$B$6,0)))</f>
        <v/>
      </c>
    </row>
    <row r="82" spans="1:5" ht="32" x14ac:dyDescent="0.2">
      <c r="A82" s="5" t="s">
        <v>100</v>
      </c>
      <c r="B82" s="6" t="s">
        <v>101</v>
      </c>
      <c r="C82" s="4"/>
      <c r="D82" s="7" t="str">
        <f>IF(C82="","",INDEX(Listas!$C$2:$C$6,MATCH(C82,Listas!$B$2:$B$6,0)))</f>
        <v/>
      </c>
      <c r="E82" s="8" t="s">
        <v>20</v>
      </c>
    </row>
    <row r="83" spans="1:5" ht="32" x14ac:dyDescent="0.2">
      <c r="A83" t="s">
        <v>21</v>
      </c>
      <c r="B83" s="6" t="s">
        <v>102</v>
      </c>
      <c r="C83" s="4"/>
      <c r="D83" s="7" t="str">
        <f>IF(C83="","",INDEX(Listas!$C$2:$C$6,MATCH(C83,Listas!$B$2:$B$6,0)))</f>
        <v/>
      </c>
    </row>
    <row r="84" spans="1:5" ht="32" x14ac:dyDescent="0.2">
      <c r="A84" t="s">
        <v>21</v>
      </c>
      <c r="B84" s="6" t="s">
        <v>103</v>
      </c>
      <c r="C84" s="4"/>
      <c r="D84" s="7" t="str">
        <f>IF(C84="","",INDEX(Listas!$C$2:$C$6,MATCH(C84,Listas!$B$2:$B$6,0)))</f>
        <v/>
      </c>
    </row>
    <row r="86" spans="1:5" ht="26" x14ac:dyDescent="0.2">
      <c r="A86" s="5" t="s">
        <v>104</v>
      </c>
      <c r="B86" s="6" t="s">
        <v>105</v>
      </c>
      <c r="C86" s="4"/>
      <c r="D86" s="7" t="str">
        <f>IF(C86="","",INDEX(Listas!$C$2:$C$6,MATCH(C86,Listas!$B$2:$B$6,0)))</f>
        <v/>
      </c>
      <c r="E86" s="8" t="s">
        <v>106</v>
      </c>
    </row>
    <row r="87" spans="1:5" ht="16" x14ac:dyDescent="0.2">
      <c r="A87" t="s">
        <v>21</v>
      </c>
      <c r="B87" s="6" t="s">
        <v>107</v>
      </c>
      <c r="C87" s="4"/>
      <c r="D87" s="7" t="str">
        <f>IF(C87="","",INDEX(Listas!$C$2:$C$6,MATCH(C87,Listas!$B$2:$B$6,0)))</f>
        <v/>
      </c>
    </row>
    <row r="88" spans="1:5" ht="16" x14ac:dyDescent="0.2">
      <c r="A88" t="s">
        <v>21</v>
      </c>
      <c r="B88" s="6" t="s">
        <v>108</v>
      </c>
      <c r="C88" s="4"/>
      <c r="D88" s="7" t="str">
        <f>IF(C88="","",INDEX(Listas!$C$2:$C$6,MATCH(C88,Listas!$B$2:$B$6,0)))</f>
        <v/>
      </c>
    </row>
    <row r="89" spans="1:5" ht="32" x14ac:dyDescent="0.2">
      <c r="A89" t="s">
        <v>21</v>
      </c>
      <c r="B89" s="6" t="s">
        <v>109</v>
      </c>
      <c r="C89" s="4"/>
      <c r="D89" s="7" t="str">
        <f>IF(C89="","",INDEX(Listas!$C$2:$C$6,MATCH(C89,Listas!$B$2:$B$6,0)))</f>
        <v/>
      </c>
    </row>
    <row r="90" spans="1:5" ht="32" x14ac:dyDescent="0.2">
      <c r="A90" t="s">
        <v>21</v>
      </c>
      <c r="B90" s="6" t="s">
        <v>30</v>
      </c>
      <c r="C90" s="4"/>
      <c r="D90" s="7" t="str">
        <f>IF(C90="","",INDEX(Listas!$C$2:$C$6,MATCH(C90,Listas!$B$2:$B$6,0)))</f>
        <v/>
      </c>
    </row>
    <row r="91" spans="1:5" ht="16" x14ac:dyDescent="0.2">
      <c r="A91" t="s">
        <v>21</v>
      </c>
      <c r="B91" s="6" t="s">
        <v>110</v>
      </c>
      <c r="C91" s="4"/>
      <c r="D91" s="7" t="str">
        <f>IF(C91="","",INDEX(Listas!$C$2:$C$6,MATCH(C91,Listas!$B$2:$B$6,0)))</f>
        <v/>
      </c>
    </row>
    <row r="93" spans="1:5" ht="32" x14ac:dyDescent="0.2">
      <c r="A93" s="5" t="s">
        <v>111</v>
      </c>
      <c r="B93" s="6" t="s">
        <v>109</v>
      </c>
      <c r="C93" s="4"/>
      <c r="D93" s="7" t="str">
        <f>IF(C93="","",INDEX(Listas!$C$2:$C$6,MATCH(C93,Listas!$B$2:$B$6,0)))</f>
        <v/>
      </c>
      <c r="E93" s="8" t="s">
        <v>106</v>
      </c>
    </row>
    <row r="94" spans="1:5" ht="32" x14ac:dyDescent="0.2">
      <c r="A94" t="s">
        <v>21</v>
      </c>
      <c r="B94" s="6" t="s">
        <v>112</v>
      </c>
      <c r="C94" s="4"/>
      <c r="D94" s="7" t="str">
        <f>IF(C94="","",INDEX(Listas!$C$2:$C$6,MATCH(C94,Listas!$B$2:$B$6,0)))</f>
        <v/>
      </c>
    </row>
    <row r="95" spans="1:5" ht="32" x14ac:dyDescent="0.2">
      <c r="A95" t="s">
        <v>21</v>
      </c>
      <c r="B95" s="6" t="s">
        <v>113</v>
      </c>
      <c r="C95" s="4"/>
      <c r="D95" s="7" t="str">
        <f>IF(C95="","",INDEX(Listas!$C$2:$C$6,MATCH(C95,Listas!$B$2:$B$6,0)))</f>
        <v/>
      </c>
    </row>
    <row r="97" spans="1:5" ht="26" x14ac:dyDescent="0.2">
      <c r="A97" s="5" t="s">
        <v>114</v>
      </c>
      <c r="B97" s="6" t="s">
        <v>115</v>
      </c>
      <c r="C97" s="4"/>
      <c r="D97" s="7" t="str">
        <f>IF(C97="","",INDEX(Listas!$C$2:$C$6,MATCH(C97,Listas!$B$2:$B$6,0)))</f>
        <v/>
      </c>
      <c r="E97" s="8" t="s">
        <v>116</v>
      </c>
    </row>
    <row r="98" spans="1:5" ht="32" x14ac:dyDescent="0.2">
      <c r="A98" t="s">
        <v>21</v>
      </c>
      <c r="B98" s="6" t="s">
        <v>117</v>
      </c>
      <c r="C98" s="4"/>
      <c r="D98" s="7" t="str">
        <f>IF(C98="","",INDEX(Listas!$C$2:$C$6,MATCH(C98,Listas!$B$2:$B$6,0)))</f>
        <v/>
      </c>
    </row>
    <row r="99" spans="1:5" ht="32" x14ac:dyDescent="0.2">
      <c r="A99" t="s">
        <v>21</v>
      </c>
      <c r="B99" s="6" t="s">
        <v>118</v>
      </c>
      <c r="C99" s="4"/>
      <c r="D99" s="7" t="str">
        <f>IF(C99="","",INDEX(Listas!$C$2:$C$6,MATCH(C99,Listas!$B$2:$B$6,0)))</f>
        <v/>
      </c>
    </row>
    <row r="100" spans="1:5" ht="32" x14ac:dyDescent="0.2">
      <c r="A100" t="s">
        <v>21</v>
      </c>
      <c r="B100" s="6" t="s">
        <v>119</v>
      </c>
      <c r="C100" s="4"/>
      <c r="D100" s="7" t="str">
        <f>IF(C100="","",INDEX(Listas!$C$2:$C$6,MATCH(C100,Listas!$B$2:$B$6,0)))</f>
        <v/>
      </c>
    </row>
    <row r="102" spans="1:5" ht="26" x14ac:dyDescent="0.2">
      <c r="A102" s="5" t="s">
        <v>120</v>
      </c>
      <c r="B102" s="6" t="s">
        <v>121</v>
      </c>
      <c r="C102" s="4"/>
      <c r="D102" s="7" t="str">
        <f>IF(C102="","",INDEX(Listas!$C$2:$C$6,MATCH(C102,Listas!$B$2:$B$6,0)))</f>
        <v/>
      </c>
      <c r="E102" s="8" t="s">
        <v>122</v>
      </c>
    </row>
    <row r="103" spans="1:5" ht="32" x14ac:dyDescent="0.2">
      <c r="A103" t="s">
        <v>21</v>
      </c>
      <c r="B103" s="6" t="s">
        <v>123</v>
      </c>
      <c r="C103" s="4"/>
      <c r="D103" s="7" t="str">
        <f>IF(C103="","",INDEX(Listas!$C$2:$C$6,MATCH(C103,Listas!$B$2:$B$6,0)))</f>
        <v/>
      </c>
    </row>
    <row r="104" spans="1:5" ht="32" x14ac:dyDescent="0.2">
      <c r="A104" t="s">
        <v>21</v>
      </c>
      <c r="B104" s="6" t="s">
        <v>124</v>
      </c>
      <c r="C104" s="4"/>
      <c r="D104" s="7" t="str">
        <f>IF(C104="","",INDEX(Listas!$C$2:$C$6,MATCH(C104,Listas!$B$2:$B$6,0)))</f>
        <v/>
      </c>
    </row>
    <row r="106" spans="1:5" ht="32" x14ac:dyDescent="0.2">
      <c r="A106" s="5" t="s">
        <v>125</v>
      </c>
      <c r="B106" s="6" t="s">
        <v>126</v>
      </c>
      <c r="C106" s="4"/>
      <c r="D106" s="7" t="str">
        <f>IF(C106="","",INDEX(Listas!$C$2:$C$6,MATCH(C106,Listas!$B$2:$B$6,0)))</f>
        <v/>
      </c>
      <c r="E106" s="8" t="s">
        <v>127</v>
      </c>
    </row>
    <row r="107" spans="1:5" ht="32" x14ac:dyDescent="0.2">
      <c r="A107" t="s">
        <v>21</v>
      </c>
      <c r="B107" s="6" t="s">
        <v>128</v>
      </c>
      <c r="C107" s="4"/>
      <c r="D107" s="7" t="str">
        <f>IF(C107="","",INDEX(Listas!$C$2:$C$6,MATCH(C107,Listas!$B$2:$B$6,0)))</f>
        <v/>
      </c>
    </row>
    <row r="108" spans="1:5" ht="16" x14ac:dyDescent="0.2">
      <c r="A108" t="s">
        <v>21</v>
      </c>
      <c r="B108" s="6" t="s">
        <v>129</v>
      </c>
      <c r="C108" s="4"/>
      <c r="D108" s="7" t="str">
        <f>IF(C108="","",INDEX(Listas!$C$2:$C$6,MATCH(C108,Listas!$B$2:$B$6,0)))</f>
        <v/>
      </c>
    </row>
    <row r="110" spans="1:5" ht="16" x14ac:dyDescent="0.2">
      <c r="A110" s="13" t="s">
        <v>130</v>
      </c>
      <c r="B110" s="13"/>
      <c r="C110" s="13"/>
      <c r="D110" s="13"/>
      <c r="E110" s="13"/>
    </row>
    <row r="111" spans="1:5" x14ac:dyDescent="0.2">
      <c r="A111" s="1" t="s">
        <v>14</v>
      </c>
      <c r="B111" s="1" t="s">
        <v>131</v>
      </c>
      <c r="C111" s="1" t="s">
        <v>132</v>
      </c>
    </row>
    <row r="112" spans="1:5" x14ac:dyDescent="0.2">
      <c r="A112" t="s">
        <v>18</v>
      </c>
      <c r="B112" t="str">
        <f>IF(COUNT(D10:D12)=0,"",ROUND(AVERAGE(D10:D12),1))</f>
        <v/>
      </c>
      <c r="C112" t="str">
        <f t="shared" ref="C112:C130" si="0">IF(B112="","",IF(B112&gt;=4.5,"Fuerte",IF(B112&gt;=3.5,"Desarrollada",IF(B112&gt;=2.5,"En progreso","Oportunidad de mejora"))))</f>
        <v/>
      </c>
    </row>
    <row r="113" spans="1:3" x14ac:dyDescent="0.2">
      <c r="A113" t="s">
        <v>24</v>
      </c>
      <c r="B113" t="str">
        <f>IF(COUNT(D14:D18)=0,"",ROUND(AVERAGE(D14:D18),1))</f>
        <v/>
      </c>
      <c r="C113" t="str">
        <f t="shared" si="0"/>
        <v/>
      </c>
    </row>
    <row r="114" spans="1:3" x14ac:dyDescent="0.2">
      <c r="A114" t="s">
        <v>31</v>
      </c>
      <c r="B114" t="str">
        <f>IF(COUNT(D20:D23)=0,"",ROUND(AVERAGE(D20:D23),1))</f>
        <v/>
      </c>
      <c r="C114" t="str">
        <f t="shared" si="0"/>
        <v/>
      </c>
    </row>
    <row r="115" spans="1:3" x14ac:dyDescent="0.2">
      <c r="A115" t="s">
        <v>37</v>
      </c>
      <c r="B115" t="str">
        <f>IF(COUNT(D25:D27)=0,"",ROUND(AVERAGE(D25:D27),1))</f>
        <v/>
      </c>
      <c r="C115" t="str">
        <f t="shared" si="0"/>
        <v/>
      </c>
    </row>
    <row r="116" spans="1:3" x14ac:dyDescent="0.2">
      <c r="A116" t="s">
        <v>41</v>
      </c>
      <c r="B116" t="str">
        <f>IF(COUNT(D29:D31)=0,"",ROUND(AVERAGE(D29:D31),1))</f>
        <v/>
      </c>
      <c r="C116" t="str">
        <f t="shared" si="0"/>
        <v/>
      </c>
    </row>
    <row r="117" spans="1:3" x14ac:dyDescent="0.2">
      <c r="A117" t="s">
        <v>45</v>
      </c>
      <c r="B117" t="str">
        <f>IF(COUNT(D33:D40)=0,"",ROUND(AVERAGE(D33:D40),1))</f>
        <v/>
      </c>
      <c r="C117" t="str">
        <f t="shared" si="0"/>
        <v/>
      </c>
    </row>
    <row r="118" spans="1:3" x14ac:dyDescent="0.2">
      <c r="A118" t="s">
        <v>55</v>
      </c>
      <c r="B118" t="str">
        <f>IF(COUNT(D42:D44)=0,"",ROUND(AVERAGE(D42:D44),1))</f>
        <v/>
      </c>
      <c r="C118" t="str">
        <f t="shared" si="0"/>
        <v/>
      </c>
    </row>
    <row r="119" spans="1:3" x14ac:dyDescent="0.2">
      <c r="A119" t="s">
        <v>59</v>
      </c>
      <c r="B119" t="str">
        <f>IF(COUNT(D46:D49)=0,"",ROUND(AVERAGE(D46:D49),1))</f>
        <v/>
      </c>
      <c r="C119" t="str">
        <f t="shared" si="0"/>
        <v/>
      </c>
    </row>
    <row r="120" spans="1:3" x14ac:dyDescent="0.2">
      <c r="A120" t="s">
        <v>65</v>
      </c>
      <c r="B120" t="str">
        <f>IF(COUNT(D51:D56)=0,"",ROUND(AVERAGE(D51:D56),1))</f>
        <v/>
      </c>
      <c r="C120" t="str">
        <f t="shared" si="0"/>
        <v/>
      </c>
    </row>
    <row r="121" spans="1:3" x14ac:dyDescent="0.2">
      <c r="A121" t="s">
        <v>73</v>
      </c>
      <c r="B121" t="str">
        <f>IF(COUNT(D58:D60)=0,"",ROUND(AVERAGE(D58:D60),1))</f>
        <v/>
      </c>
      <c r="C121" t="str">
        <f t="shared" si="0"/>
        <v/>
      </c>
    </row>
    <row r="122" spans="1:3" x14ac:dyDescent="0.2">
      <c r="A122" t="s">
        <v>77</v>
      </c>
      <c r="B122" t="str">
        <f>IF(COUNT(D62:D67)=0,"",ROUND(AVERAGE(D62:D67),1))</f>
        <v/>
      </c>
      <c r="C122" t="str">
        <f t="shared" si="0"/>
        <v/>
      </c>
    </row>
    <row r="123" spans="1:3" x14ac:dyDescent="0.2">
      <c r="A123" t="s">
        <v>85</v>
      </c>
      <c r="B123" t="str">
        <f>IF(COUNT(D69:D73)=0,"",ROUND(AVERAGE(D69:D73),1))</f>
        <v/>
      </c>
      <c r="C123" t="str">
        <f t="shared" si="0"/>
        <v/>
      </c>
    </row>
    <row r="124" spans="1:3" x14ac:dyDescent="0.2">
      <c r="A124" t="s">
        <v>92</v>
      </c>
      <c r="B124" t="str">
        <f>IF(COUNT(D75:D80)=0,"",ROUND(AVERAGE(D75:D80),1))</f>
        <v/>
      </c>
      <c r="C124" t="str">
        <f t="shared" si="0"/>
        <v/>
      </c>
    </row>
    <row r="125" spans="1:3" x14ac:dyDescent="0.2">
      <c r="A125" t="s">
        <v>100</v>
      </c>
      <c r="B125" t="str">
        <f>IF(COUNT(D82:D84)=0,"",ROUND(AVERAGE(D82:D84),1))</f>
        <v/>
      </c>
      <c r="C125" t="str">
        <f t="shared" si="0"/>
        <v/>
      </c>
    </row>
    <row r="126" spans="1:3" x14ac:dyDescent="0.2">
      <c r="A126" t="s">
        <v>104</v>
      </c>
      <c r="B126" t="str">
        <f>IF(COUNT(D86:D91)=0,"",ROUND(AVERAGE(D86:D91),1))</f>
        <v/>
      </c>
      <c r="C126" t="str">
        <f t="shared" si="0"/>
        <v/>
      </c>
    </row>
    <row r="127" spans="1:3" x14ac:dyDescent="0.2">
      <c r="A127" t="s">
        <v>111</v>
      </c>
      <c r="B127" t="str">
        <f>IF(COUNT(D93:D95)=0,"",ROUND(AVERAGE(D93:D95),1))</f>
        <v/>
      </c>
      <c r="C127" t="str">
        <f t="shared" si="0"/>
        <v/>
      </c>
    </row>
    <row r="128" spans="1:3" x14ac:dyDescent="0.2">
      <c r="A128" t="s">
        <v>114</v>
      </c>
      <c r="B128" t="str">
        <f>IF(COUNT(D97:D100)=0,"",ROUND(AVERAGE(D97:D100),1))</f>
        <v/>
      </c>
      <c r="C128" t="str">
        <f t="shared" si="0"/>
        <v/>
      </c>
    </row>
    <row r="129" spans="1:3" x14ac:dyDescent="0.2">
      <c r="A129" t="s">
        <v>120</v>
      </c>
      <c r="B129" t="str">
        <f>IF(COUNT(D102:D104)=0,"",ROUND(AVERAGE(D102:D104),1))</f>
        <v/>
      </c>
      <c r="C129" t="str">
        <f t="shared" si="0"/>
        <v/>
      </c>
    </row>
    <row r="130" spans="1:3" x14ac:dyDescent="0.2">
      <c r="A130" t="s">
        <v>125</v>
      </c>
      <c r="B130" t="str">
        <f>IF(COUNT(D106:D108)=0,"",ROUND(AVERAGE(D106:D108),1))</f>
        <v/>
      </c>
      <c r="C130" t="str">
        <f t="shared" si="0"/>
        <v/>
      </c>
    </row>
    <row r="132" spans="1:3" ht="19" x14ac:dyDescent="0.25">
      <c r="A132" s="9" t="s">
        <v>133</v>
      </c>
      <c r="B132" s="10" t="str">
        <f>IF(COUNT(B112,B113,B114,B115,B116,B117,B118,B119,B120,B121,B122,B123,B124,B125,B126,B127,B128,B129,B130)=0,"",ROUND(AVERAGE(B112,B113,B114,B115,B116,B117,B118,B119,B120,B121,B122,B123,B124,B125,B126,B127,B128,B129,B130),1))</f>
        <v/>
      </c>
      <c r="C132" s="1" t="str">
        <f>IF(B132="","",IF(B132&gt;=4.5,"Fuerte",IF(B132&gt;=3.5,"Desarrollada",IF(B132&gt;=2.5,"En progreso","Oportunidad de mejora"))))</f>
        <v/>
      </c>
    </row>
  </sheetData>
  <mergeCells count="5">
    <mergeCell ref="A1:E1"/>
    <mergeCell ref="A2:E2"/>
    <mergeCell ref="A4:E4"/>
    <mergeCell ref="A8:E8"/>
    <mergeCell ref="A110:E110"/>
  </mergeCell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Opción inválida" error="Selecciona un valor de la lista desplegable." xr:uid="{00000000-0002-0000-0100-000000000000}">
          <x14:formula1>
            <xm:f>Listas!$A$2:$A$11</xm:f>
          </x14:formula1>
          <xm:sqref>B6</xm:sqref>
        </x14:dataValidation>
        <x14:dataValidation type="list" allowBlank="1" showErrorMessage="1" errorTitle="Opción inválida" error="Selecciona un valor de la lista desplegable." xr:uid="{00000000-0002-0000-0100-000001000000}">
          <x14:formula1>
            <xm:f>Listas!$B$2:$B$6</xm:f>
          </x14:formula1>
          <xm:sqref>C10:C12 C93:C95 C86:C91 C82:C84 C75:C80 C69:C73 C62:C67 C58:C60 C51:C56 C46:C49 C42:C44 C33:C40 C29:C31 C25:C27 C20:C23 C14:C18 C106:C108 C102:C104 C97:C100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Listas</vt:lpstr>
      <vt:lpstr>Cuestionario Capacidades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2026-08-14T04:25:52Z</dcterms:created>
  <dcterms:modified xsi:type="dcterms:W3CDTF">2026-08-14T04:30:01Z</dcterms:modified>
  <cp:category/>
</cp:coreProperties>
</file>