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s" state="hidden" r:id="rId4"/>
    <sheet sheetId="2" name="Cuestionario Capacidades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<sst xmlns="http://schemas.openxmlformats.org/spreadsheetml/2006/main" count="220" uniqueCount="144">
  <si>
    <t>Aplicaciones</t>
  </si>
  <si>
    <t>Likert</t>
  </si>
  <si>
    <t>Valor</t>
  </si>
  <si>
    <t>Mi App Auna</t>
  </si>
  <si>
    <t>Totalmente en desacuerdo</t>
  </si>
  <si>
    <t>Aunados</t>
  </si>
  <si>
    <t>En desacuerdo</t>
  </si>
  <si>
    <t>Aunados - Facturación</t>
  </si>
  <si>
    <t>Ni de acuerdo ni en desacuerdo</t>
  </si>
  <si>
    <t>Aunados – Hospitalización</t>
  </si>
  <si>
    <t>De acuerdo</t>
  </si>
  <si>
    <t>Aunados – Devoluciones</t>
  </si>
  <si>
    <t>Totalmente de acuerdo</t>
  </si>
  <si>
    <t>Ecommerce Salud</t>
  </si>
  <si>
    <t>Teleconsultas</t>
  </si>
  <si>
    <t>Membresías Perú</t>
  </si>
  <si>
    <t>Auna.org</t>
  </si>
  <si>
    <t>Laboratorio B2B</t>
  </si>
  <si>
    <t>Cuestionario de Capacidades DORA Core</t>
  </si>
  <si>
    <t>Encuesta Likert · Basado en dora.dev/research (2022–2025) · Selecciona opciones desde los combos</t>
  </si>
  <si>
    <t>DATOS DEL EVALUADOR</t>
  </si>
  <si>
    <t>Nombre completo</t>
  </si>
  <si>
    <t>Aplicación / Servicio ▼</t>
  </si>
  <si>
    <t>AFIRMACIONES POR CAPACIDAD (escala Likert)</t>
  </si>
  <si>
    <t>Capacidad</t>
  </si>
  <si>
    <t>Afirmación</t>
  </si>
  <si>
    <t>Respuesta ▼</t>
  </si>
  <si>
    <t>Fuente DORA</t>
  </si>
  <si>
    <t>Mantenibilidad del código</t>
  </si>
  <si>
    <t>Es fácil para el equipo encontrar ejemplos en el código base, reutilizar código de otros y modificar código mantenido por otros equipos si es necesario.</t>
  </si>
  <si>
    <t>DORA Capabilities Research</t>
  </si>
  <si>
    <t/>
  </si>
  <si>
    <t>Es fácil para el equipo agregar nuevas dependencias a su proyecto y migrar a una nueva versión de una dependencia.</t>
  </si>
  <si>
    <t>Las dependencias del equipo son estables y rara vez rompen el código.</t>
  </si>
  <si>
    <t>Entrega continua</t>
  </si>
  <si>
    <t>El feedback rápido sobre la calidad y desplegabilidad del sistema está disponible para cualquier persona del equipo.</t>
  </si>
  <si>
    <t>DORA Research 2022 — Continuous Delivery</t>
  </si>
  <si>
    <t>Mi equipo prioriza mantener el software desplegable por encima de trabajar en nuevas funcionalidades.</t>
  </si>
  <si>
    <t>Nuestro software se mantiene en un estado desplegable a lo largo de todo su ciclo de vida.</t>
  </si>
  <si>
    <t>Podemos desplegar nuestro sistema a producción, o a los usuarios finales, en cualquier momento y bajo demanda.</t>
  </si>
  <si>
    <t>Integración continua</t>
  </si>
  <si>
    <t>Los builds y tests automatizados se ejecutan con éxito todos los días.</t>
  </si>
  <si>
    <t>DORA Research 2022 — Continuous Integration</t>
  </si>
  <si>
    <t>Los fallos en tests automatizados bloquearán el avance de un commit en el pipeline.</t>
  </si>
  <si>
    <t>Los commits de código activan una serie de tests automatizados.</t>
  </si>
  <si>
    <t>Los commits de código resultan en un build automatizado del software.</t>
  </si>
  <si>
    <t>Gestión de cambios en base de datos</t>
  </si>
  <si>
    <t>Todos los cambios de base de datos se almacenan en control de versiones junto con el código de aplicación.</t>
  </si>
  <si>
    <t>Existe una herramienta que registra qué cambios de base de datos se han ejecutado en cada entorno.</t>
  </si>
  <si>
    <t>Los cambios de esquema de base de datos se prueban contra datos similares a producción antes del despliegue.</t>
  </si>
  <si>
    <t>Automatización de despliegues</t>
  </si>
  <si>
    <t>Cualquier persona con las credenciales necesarias puede desplegar cualquier versión a cualquier entorno de forma totalmente automatizada.</t>
  </si>
  <si>
    <t>Utilizamos el mismo proceso de despliegue para todos los entornos, incluida producción.</t>
  </si>
  <si>
    <t>Utilizamos los mismos paquetes para todos los entornos, manteniendo la configuración específica separada.</t>
  </si>
  <si>
    <t>Calidad de documentación</t>
  </si>
  <si>
    <t>Puedo confiar en nuestra documentación técnica cuando necesito usar o trabajar con los servicios o aplicaciones en los que trabajo.</t>
  </si>
  <si>
    <t>DORA Research 2022 — Documentation</t>
  </si>
  <si>
    <t>Es fácil encontrar el documento técnico correcto cuando necesito entender algo sobre los servicios o aplicaciones en los que trabajo.</t>
  </si>
  <si>
    <t>La documentación técnica se actualiza cuando se realizan cambios.</t>
  </si>
  <si>
    <t>La documentación técnica refleja correctamente las capacidades y requisitos del servicio o aplicación principal en el que trabajo.</t>
  </si>
  <si>
    <t>Empoderar equipos para elegir herramientas</t>
  </si>
  <si>
    <t>Nuestro equipo puede seleccionar herramientas que mejor se adapten a sus necesidades dentro de directrices organizacionales.</t>
  </si>
  <si>
    <t>Se nos anima a experimentar con nuevas herramientas y compartir aprendizajes con otros equipos.</t>
  </si>
  <si>
    <t>Existe un proceso documentado para evaluar y adoptar nuevas tecnologías fuera del conjunto base de herramientas.</t>
  </si>
  <si>
    <t>Infraestructura flexible</t>
  </si>
  <si>
    <t>Puedo aumentar o disminuir dinámicamente los recursos en la nube disponibles para el servicio o producto que principalmente soporto según la demanda.</t>
  </si>
  <si>
    <t>DORA Research 2022 — Cloud Computing</t>
  </si>
  <si>
    <t>Puedo monitorear o controlar la cantidad y/o el costo de los recursos en la nube utilizados por el servicio o producto que principalmente soporto.</t>
  </si>
  <si>
    <t>Una vez que tengo acceso, puedo aprovisionar y configurar de forma independiente los recursos y capacidades en la nube requeridos para mi producto o servicio bajo demanda, sin crear tickets ni requerir interacción humana.</t>
  </si>
  <si>
    <t>La nube en la que corre mi producto o servicio atiende a múltiples equipos y aplicaciones, con recursos de cómputo e infraestructura asignados y reasignados dinámicamente según la demanda.</t>
  </si>
  <si>
    <t>Cultura organizacional generativa</t>
  </si>
  <si>
    <t>La colaboración entre funciones (cross-functional) es alentada y recompensada.</t>
  </si>
  <si>
    <t>DORA Research 2022 — Generative Organizational Culture</t>
  </si>
  <si>
    <t>Los fallos se tratan principalmente como oportunidades para mejorar el sistema.</t>
  </si>
  <si>
    <t>A los mensajeros no se les castiga cuando entregan noticias de fallos u otras malas noticias.</t>
  </si>
  <si>
    <t>Las nuevas ideas son bienvenidas.</t>
  </si>
  <si>
    <t>Satisfacción laboral</t>
  </si>
  <si>
    <t>Tengo las herramientas y recursos necesarios para realizar mi trabajo de forma efectiva.</t>
  </si>
  <si>
    <t>Mi criterio y experiencia son valorados al tomar decisiones técnicas.</t>
  </si>
  <si>
    <t>Es probable que recomiende a mi equipo como un buen lugar para trabajar a un amigo o colega.</t>
  </si>
  <si>
    <t>Equipos débilmente acoplados</t>
  </si>
  <si>
    <t>Mi equipo puede desplegar y liberar nuestro producto o servicio bajo demanda, de forma independiente de otros servicios de los que dependemos.</t>
  </si>
  <si>
    <t>DORA Research 2022 — Architecture</t>
  </si>
  <si>
    <t>En mi equipo, podemos hacer cambios de gran escala en el diseño de nuestro sistema sin crear trabajo significativo para otros equipos.</t>
  </si>
  <si>
    <t>En mi equipo, podemos hacer cambios de gran escala en el diseño de nuestro sistema sin depender de que otros equipos hagan cambios en sus sistemas.</t>
  </si>
  <si>
    <t>Podemos realizar la mayor parte de nuestras pruebas bajo demanda, sin requerir un entorno de pruebas integrado.</t>
  </si>
  <si>
    <t>Monitoreo y observabilidad</t>
  </si>
  <si>
    <t>Sé cuál fue la confiabilidad real en el periodo más reciente.</t>
  </si>
  <si>
    <t>DORA Research 2022 — Reliability</t>
  </si>
  <si>
    <t>Tiene objetivos de confiabilidad bien definidos (como SLAs/SLOs) que se comunican claramente entre el equipo y a los clientes.</t>
  </si>
  <si>
    <t>Mi equipo revisa y ajusta regularmente los objetivos de confiabilidad basándose en evidencia.</t>
  </si>
  <si>
    <t>Cuando no cumplimos nuestros objetivos de confiabilidad, realizamos trabajo de mejora y/o re-priorizamos.</t>
  </si>
  <si>
    <t>Seguridad integrada</t>
  </si>
  <si>
    <t>En mi empresa, el protocolo de seguridad de software está integrado de forma transparente en nuestro proceso de desarrollo.</t>
  </si>
  <si>
    <t>DORA Research 2022 — Security</t>
  </si>
  <si>
    <t>En mi empresa, tenemos un proceso estandarizado para abordar la seguridad de software en todos los proyectos.</t>
  </si>
  <si>
    <t>Se realiza revisión de seguridad para todas las funcionalidades principales de las aplicaciones en las que trabajo.</t>
  </si>
  <si>
    <t>Las pruebas de seguridad se ejecutan temprano en el proceso de desarrollo de software, ya sea por mí o por otro equipo.</t>
  </si>
  <si>
    <t>Agilizar aprobación de cambios</t>
  </si>
  <si>
    <t>Los cambios se aprueban mediante revisiones entre pares durante el desarrollo, en lugar de procesos de aprobación externos extensos.</t>
  </si>
  <si>
    <t>Las pruebas automatizadas y la integración continua detectan cambios defectuosos temprano en el ciclo de vida.</t>
  </si>
  <si>
    <t>Podemos implementar mejoras menores sin pasar por procesos burocráticos prolongados de aprobación de cambios.</t>
  </si>
  <si>
    <t>Automatización de pruebas</t>
  </si>
  <si>
    <t>Los fallos en tests automatizados suelen indicar un defecto real.</t>
  </si>
  <si>
    <t>DORA Research 2025 — Test Automation</t>
  </si>
  <si>
    <t>Puedo obtener feedback de los tests automatizados en menos de diez minutos.</t>
  </si>
  <si>
    <t>Es fácil para los desarrolladores reproducir fallos de tests.</t>
  </si>
  <si>
    <t>Cuando los tests automatizados pasan, confío en que el software es desplegable.</t>
  </si>
  <si>
    <t>Gestión de datos de prueba</t>
  </si>
  <si>
    <t>Tenemos los datos de prueba necesarios para ejecutar nuestros tests automatizados fácilmente en cada etapa.</t>
  </si>
  <si>
    <t>Los tests pueden ejecutarse de forma independiente y repetible sin depender de estado compartido mutable.</t>
  </si>
  <si>
    <t>Los datos de prueba se gestionan de forma que los tests automatizados puedan crear y limpiar sus propios datos.</t>
  </si>
  <si>
    <t>Control de versiones</t>
  </si>
  <si>
    <t>Nuestro código de aplicación está en un sistema de control de versiones.</t>
  </si>
  <si>
    <t>DORA Research 2022 — Version Control</t>
  </si>
  <si>
    <t>Las configuraciones de nuestra aplicación están en un sistema de control de versiones.</t>
  </si>
  <si>
    <t>Nuestros scripts para automatizar build y configuración están en un sistema de control de versiones.</t>
  </si>
  <si>
    <t>Las configuraciones de nuestro sistema están en un sistema de control de versiones.</t>
  </si>
  <si>
    <t>Bienestar</t>
  </si>
  <si>
    <t>Desplegar a producción no genera ansiedad significativa en nuestro equipo.</t>
  </si>
  <si>
    <t>DORA Capabilities Research — Well-being</t>
  </si>
  <si>
    <t>Dedicamos más tiempo a trabajo proactivo que a retrabajo reactivo e imprevisto.</t>
  </si>
  <si>
    <t>Las interrupciones y el trabajo no planificado representan una porción menor de nuestro tiempo total de trabajo.</t>
  </si>
  <si>
    <t>Trabajo en lotes pequeños</t>
  </si>
  <si>
    <t>Todos los desarrolladores de mi equipo envían código al trunk / rama main al menos una vez al día.</t>
  </si>
  <si>
    <t>DORA Research 2022 — Trunk-Based Development</t>
  </si>
  <si>
    <t>Las ramas y forks tienen tiempos de vida muy cortos (menos de un día) antes de fusionarse con la rama principal.</t>
  </si>
  <si>
    <t>Hay menos de tres ramas activas en el repositorio de código de la aplicación.</t>
  </si>
  <si>
    <t>RESULTADOS POR CAPACIDAD</t>
  </si>
  <si>
    <t>Promedio /5</t>
  </si>
  <si>
    <t>Nivel</t>
  </si>
  <si>
    <t>Puntuación general /5</t>
  </si>
  <si>
    <t>Instrucciones — Cuestionario Capacidades DORA Core</t>
  </si>
  <si>
    <t>1. Ingresa tu nombre completo.</t>
  </si>
  <si>
    <t>2. Selecciona la aplicación / servicio desde el combo.</t>
  </si>
  <si>
    <t>3. Para cada afirmación, elige una opción Likert en la columna «Respuesta»:</t>
  </si>
  <si>
    <t xml:space="preserve">   • Totalmente en desacuerdo</t>
  </si>
  <si>
    <t xml:space="preserve">   • En desacuerdo</t>
  </si>
  <si>
    <t xml:space="preserve">   • Ni de acuerdo ni en desacuerdo</t>
  </si>
  <si>
    <t xml:space="preserve">   • De acuerdo</t>
  </si>
  <si>
    <t xml:space="preserve">   • Totalmente de acuerdo</t>
  </si>
  <si>
    <t>4. Los promedios por capacidad y la puntuación general se calculan automáticamente.</t>
  </si>
  <si>
    <t>Referencia: https://dora.dev/capabilities/</t>
  </si>
  <si>
    <t>Capacidades incluidas: 19 (modelo DORA Core)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</si>
</sst>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</font>
    <font>
      <b/>
      <color rgb="FF4285F4"/>
      <sz val="16"/>
    </font>
    <font>
      <i/>
      <color rgb="FF666666"/>
      <sz val="10"/>
    </font>
    <font>
      <b/>
      <color rgb="FF1A1A1A"/>
      <sz val="12"/>
    </font>
    <font>
      <b/>
      <sz val="11"/>
    </font>
    <font>
      <b/>
      <color rgb="FFFFFFFF"/>
      <sz val="11"/>
    </font>
    <font>
      <b/>
      <color rgb="FF4285F4"/>
    </font>
    <font>
      <color rgb="FF888888"/>
    </font>
    <font>
      <color rgb="FF888888"/>
      <sz val="9"/>
    </font>
    <font>
      <b/>
      <sz val="12"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FBBF04"/>
      </patternFill>
    </fill>
    <fill>
      <patternFill patternType="solid">
        <fgColor rgb="FFF8F9FA"/>
      </patternFill>
    </fill>
    <fill>
      <patternFill patternType="solid">
        <fgColor rgb="FFE8F0FE"/>
      </patternFill>
    </fill>
    <fill>
      <patternFill patternType="solid">
        <fgColor rgb="FF428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0" fillId="3" borderId="0" xfId="0" applyFill="1"/>
    <xf numFmtId="0" fontId="0" fillId="4" borderId="0" xfId="0" applyFill="1"/>
    <xf numFmtId="0" fontId="6" fillId="5" borderId="0" xfId="0" applyFont="1" applyFill="1"/>
    <xf numFmtId="0" fontId="7" fillId="0" borderId="0" xfId="0" applyFont="1"/>
    <xf numFmtId="0" fontId="0" fillId="0" borderId="0" xfId="0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3</v>
      </c>
    </row>
    <row r="5" spans="1:3" x14ac:dyDescent="0.25">
      <c r="A5" t="s">
        <v>9</v>
      </c>
      <c r="B5" t="s">
        <v>10</v>
      </c>
      <c r="C5">
        <v>4</v>
      </c>
    </row>
    <row r="6" spans="1:3" x14ac:dyDescent="0.25">
      <c r="A6" t="s">
        <v>11</v>
      </c>
      <c r="B6" t="s">
        <v>12</v>
      </c>
      <c r="C6">
        <v>5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2" customWidth="1"/>
    <col min="3" max="3" width="32" customWidth="1"/>
    <col min="4" max="4" width="10" customWidth="1"/>
    <col min="5" max="5" width="22" customWidth="1"/>
  </cols>
  <sheetData>
    <row r="1" spans="1:5" x14ac:dyDescent="0.25">
      <c r="A1" s="2" t="s">
        <v>18</v>
      </c>
      <c r="B1" s="2"/>
      <c r="C1" s="2"/>
      <c r="D1" s="2"/>
      <c r="E1" s="2"/>
    </row>
    <row r="2" spans="1:5" x14ac:dyDescent="0.25">
      <c r="A2" s="3" t="s">
        <v>19</v>
      </c>
      <c r="B2" s="3"/>
      <c r="C2" s="3"/>
      <c r="D2" s="3"/>
      <c r="E2" s="3"/>
    </row>
    <row r="4" spans="1:5" x14ac:dyDescent="0.25">
      <c r="A4" s="4" t="s">
        <v>20</v>
      </c>
      <c r="B4" s="4"/>
      <c r="C4" s="4"/>
      <c r="D4" s="4"/>
      <c r="E4" s="4"/>
    </row>
    <row r="5" spans="1:2" x14ac:dyDescent="0.25">
      <c r="A5" s="5" t="s">
        <v>21</v>
      </c>
      <c r="B5" s="6"/>
    </row>
    <row r="6" spans="1:2" x14ac:dyDescent="0.25">
      <c r="A6" s="5" t="s">
        <v>22</v>
      </c>
      <c r="B6" s="7"/>
    </row>
    <row r="8" spans="1:5" x14ac:dyDescent="0.25">
      <c r="A8" s="8" t="s">
        <v>23</v>
      </c>
      <c r="B8" s="8"/>
      <c r="C8" s="8"/>
      <c r="D8" s="8"/>
      <c r="E8" s="8"/>
    </row>
    <row r="9" spans="1:5" x14ac:dyDescent="0.25">
      <c r="A9" s="1" t="s">
        <v>24</v>
      </c>
      <c r="B9" s="1" t="s">
        <v>25</v>
      </c>
      <c r="C9" s="1" t="s">
        <v>26</v>
      </c>
      <c r="D9" s="1" t="s">
        <v>2</v>
      </c>
      <c r="E9" s="1" t="s">
        <v>27</v>
      </c>
    </row>
    <row r="10" spans="1:5" x14ac:dyDescent="0.25">
      <c r="A10" s="9" t="s">
        <v>28</v>
      </c>
      <c r="B10" s="10" t="s">
        <v>29</v>
      </c>
      <c r="C10" s="7"/>
      <c r="D10" s="11">
        <f>IF(C10="","",INDEX(Listas!$C$2:$C$6,MATCH(C10,Listas!$B$2:$B$6,0)))</f>
      </c>
      <c r="E10" s="12" t="s">
        <v>30</v>
      </c>
    </row>
    <row r="11" spans="1:4" x14ac:dyDescent="0.25">
      <c r="A11" t="s">
        <v>31</v>
      </c>
      <c r="B11" s="10" t="s">
        <v>32</v>
      </c>
      <c r="C11" s="7"/>
      <c r="D11" s="11">
        <f>IF(C11="","",INDEX(Listas!$C$2:$C$6,MATCH(C11,Listas!$B$2:$B$6,0)))</f>
      </c>
    </row>
    <row r="12" spans="1:4" x14ac:dyDescent="0.25">
      <c r="A12" t="s">
        <v>31</v>
      </c>
      <c r="B12" s="10" t="s">
        <v>33</v>
      </c>
      <c r="C12" s="7"/>
      <c r="D12" s="11">
        <f>IF(C12="","",INDEX(Listas!$C$2:$C$6,MATCH(C12,Listas!$B$2:$B$6,0)))</f>
      </c>
    </row>
    <row r="14" spans="1:5" x14ac:dyDescent="0.25">
      <c r="A14" s="9" t="s">
        <v>34</v>
      </c>
      <c r="B14" s="10" t="s">
        <v>35</v>
      </c>
      <c r="C14" s="7"/>
      <c r="D14" s="11">
        <f>IF(C14="","",INDEX(Listas!$C$2:$C$6,MATCH(C14,Listas!$B$2:$B$6,0)))</f>
      </c>
      <c r="E14" s="12" t="s">
        <v>36</v>
      </c>
    </row>
    <row r="15" spans="1:4" x14ac:dyDescent="0.25">
      <c r="A15" t="s">
        <v>31</v>
      </c>
      <c r="B15" s="10" t="s">
        <v>37</v>
      </c>
      <c r="C15" s="7"/>
      <c r="D15" s="11">
        <f>IF(C15="","",INDEX(Listas!$C$2:$C$6,MATCH(C15,Listas!$B$2:$B$6,0)))</f>
      </c>
    </row>
    <row r="16" spans="1:4" x14ac:dyDescent="0.25">
      <c r="A16" t="s">
        <v>31</v>
      </c>
      <c r="B16" s="10" t="s">
        <v>38</v>
      </c>
      <c r="C16" s="7"/>
      <c r="D16" s="11">
        <f>IF(C16="","",INDEX(Listas!$C$2:$C$6,MATCH(C16,Listas!$B$2:$B$6,0)))</f>
      </c>
    </row>
    <row r="17" spans="1:4" x14ac:dyDescent="0.25">
      <c r="A17" t="s">
        <v>31</v>
      </c>
      <c r="B17" s="10" t="s">
        <v>39</v>
      </c>
      <c r="C17" s="7"/>
      <c r="D17" s="11">
        <f>IF(C17="","",INDEX(Listas!$C$2:$C$6,MATCH(C17,Listas!$B$2:$B$6,0)))</f>
      </c>
    </row>
    <row r="19" spans="1:5" x14ac:dyDescent="0.25">
      <c r="A19" s="9" t="s">
        <v>40</v>
      </c>
      <c r="B19" s="10" t="s">
        <v>41</v>
      </c>
      <c r="C19" s="7"/>
      <c r="D19" s="11">
        <f>IF(C19="","",INDEX(Listas!$C$2:$C$6,MATCH(C19,Listas!$B$2:$B$6,0)))</f>
      </c>
      <c r="E19" s="12" t="s">
        <v>42</v>
      </c>
    </row>
    <row r="20" spans="1:4" x14ac:dyDescent="0.25">
      <c r="A20" t="s">
        <v>31</v>
      </c>
      <c r="B20" s="10" t="s">
        <v>43</v>
      </c>
      <c r="C20" s="7"/>
      <c r="D20" s="11">
        <f>IF(C20="","",INDEX(Listas!$C$2:$C$6,MATCH(C20,Listas!$B$2:$B$6,0)))</f>
      </c>
    </row>
    <row r="21" spans="1:4" x14ac:dyDescent="0.25">
      <c r="A21" t="s">
        <v>31</v>
      </c>
      <c r="B21" s="10" t="s">
        <v>44</v>
      </c>
      <c r="C21" s="7"/>
      <c r="D21" s="11">
        <f>IF(C21="","",INDEX(Listas!$C$2:$C$6,MATCH(C21,Listas!$B$2:$B$6,0)))</f>
      </c>
    </row>
    <row r="22" spans="1:4" x14ac:dyDescent="0.25">
      <c r="A22" t="s">
        <v>31</v>
      </c>
      <c r="B22" s="10" t="s">
        <v>45</v>
      </c>
      <c r="C22" s="7"/>
      <c r="D22" s="11">
        <f>IF(C22="","",INDEX(Listas!$C$2:$C$6,MATCH(C22,Listas!$B$2:$B$6,0)))</f>
      </c>
    </row>
    <row r="24" spans="1:5" x14ac:dyDescent="0.25">
      <c r="A24" s="9" t="s">
        <v>46</v>
      </c>
      <c r="B24" s="10" t="s">
        <v>47</v>
      </c>
      <c r="C24" s="7"/>
      <c r="D24" s="11">
        <f>IF(C24="","",INDEX(Listas!$C$2:$C$6,MATCH(C24,Listas!$B$2:$B$6,0)))</f>
      </c>
      <c r="E24" s="12" t="s">
        <v>30</v>
      </c>
    </row>
    <row r="25" spans="1:4" x14ac:dyDescent="0.25">
      <c r="A25" t="s">
        <v>31</v>
      </c>
      <c r="B25" s="10" t="s">
        <v>48</v>
      </c>
      <c r="C25" s="7"/>
      <c r="D25" s="11">
        <f>IF(C25="","",INDEX(Listas!$C$2:$C$6,MATCH(C25,Listas!$B$2:$B$6,0)))</f>
      </c>
    </row>
    <row r="26" spans="1:4" x14ac:dyDescent="0.25">
      <c r="A26" t="s">
        <v>31</v>
      </c>
      <c r="B26" s="10" t="s">
        <v>49</v>
      </c>
      <c r="C26" s="7"/>
      <c r="D26" s="11">
        <f>IF(C26="","",INDEX(Listas!$C$2:$C$6,MATCH(C26,Listas!$B$2:$B$6,0)))</f>
      </c>
    </row>
    <row r="28" spans="1:5" x14ac:dyDescent="0.25">
      <c r="A28" s="9" t="s">
        <v>50</v>
      </c>
      <c r="B28" s="10" t="s">
        <v>51</v>
      </c>
      <c r="C28" s="7"/>
      <c r="D28" s="11">
        <f>IF(C28="","",INDEX(Listas!$C$2:$C$6,MATCH(C28,Listas!$B$2:$B$6,0)))</f>
      </c>
      <c r="E28" s="12" t="s">
        <v>30</v>
      </c>
    </row>
    <row r="29" spans="1:4" x14ac:dyDescent="0.25">
      <c r="A29" t="s">
        <v>31</v>
      </c>
      <c r="B29" s="10" t="s">
        <v>52</v>
      </c>
      <c r="C29" s="7"/>
      <c r="D29" s="11">
        <f>IF(C29="","",INDEX(Listas!$C$2:$C$6,MATCH(C29,Listas!$B$2:$B$6,0)))</f>
      </c>
    </row>
    <row r="30" spans="1:4" x14ac:dyDescent="0.25">
      <c r="A30" t="s">
        <v>31</v>
      </c>
      <c r="B30" s="10" t="s">
        <v>53</v>
      </c>
      <c r="C30" s="7"/>
      <c r="D30" s="11">
        <f>IF(C30="","",INDEX(Listas!$C$2:$C$6,MATCH(C30,Listas!$B$2:$B$6,0)))</f>
      </c>
    </row>
    <row r="32" spans="1:5" x14ac:dyDescent="0.25">
      <c r="A32" s="9" t="s">
        <v>54</v>
      </c>
      <c r="B32" s="10" t="s">
        <v>55</v>
      </c>
      <c r="C32" s="7"/>
      <c r="D32" s="11">
        <f>IF(C32="","",INDEX(Listas!$C$2:$C$6,MATCH(C32,Listas!$B$2:$B$6,0)))</f>
      </c>
      <c r="E32" s="12" t="s">
        <v>56</v>
      </c>
    </row>
    <row r="33" spans="1:4" x14ac:dyDescent="0.25">
      <c r="A33" t="s">
        <v>31</v>
      </c>
      <c r="B33" s="10" t="s">
        <v>57</v>
      </c>
      <c r="C33" s="7"/>
      <c r="D33" s="11">
        <f>IF(C33="","",INDEX(Listas!$C$2:$C$6,MATCH(C33,Listas!$B$2:$B$6,0)))</f>
      </c>
    </row>
    <row r="34" spans="1:4" x14ac:dyDescent="0.25">
      <c r="A34" t="s">
        <v>31</v>
      </c>
      <c r="B34" s="10" t="s">
        <v>58</v>
      </c>
      <c r="C34" s="7"/>
      <c r="D34" s="11">
        <f>IF(C34="","",INDEX(Listas!$C$2:$C$6,MATCH(C34,Listas!$B$2:$B$6,0)))</f>
      </c>
    </row>
    <row r="35" spans="1:4" x14ac:dyDescent="0.25">
      <c r="A35" t="s">
        <v>31</v>
      </c>
      <c r="B35" s="10" t="s">
        <v>59</v>
      </c>
      <c r="C35" s="7"/>
      <c r="D35" s="11">
        <f>IF(C35="","",INDEX(Listas!$C$2:$C$6,MATCH(C35,Listas!$B$2:$B$6,0)))</f>
      </c>
    </row>
    <row r="37" spans="1:5" x14ac:dyDescent="0.25">
      <c r="A37" s="9" t="s">
        <v>60</v>
      </c>
      <c r="B37" s="10" t="s">
        <v>61</v>
      </c>
      <c r="C37" s="7"/>
      <c r="D37" s="11">
        <f>IF(C37="","",INDEX(Listas!$C$2:$C$6,MATCH(C37,Listas!$B$2:$B$6,0)))</f>
      </c>
      <c r="E37" s="12" t="s">
        <v>30</v>
      </c>
    </row>
    <row r="38" spans="1:4" x14ac:dyDescent="0.25">
      <c r="A38" t="s">
        <v>31</v>
      </c>
      <c r="B38" s="10" t="s">
        <v>62</v>
      </c>
      <c r="C38" s="7"/>
      <c r="D38" s="11">
        <f>IF(C38="","",INDEX(Listas!$C$2:$C$6,MATCH(C38,Listas!$B$2:$B$6,0)))</f>
      </c>
    </row>
    <row r="39" spans="1:4" x14ac:dyDescent="0.25">
      <c r="A39" t="s">
        <v>31</v>
      </c>
      <c r="B39" s="10" t="s">
        <v>63</v>
      </c>
      <c r="C39" s="7"/>
      <c r="D39" s="11">
        <f>IF(C39="","",INDEX(Listas!$C$2:$C$6,MATCH(C39,Listas!$B$2:$B$6,0)))</f>
      </c>
    </row>
    <row r="41" spans="1:5" x14ac:dyDescent="0.25">
      <c r="A41" s="9" t="s">
        <v>64</v>
      </c>
      <c r="B41" s="10" t="s">
        <v>65</v>
      </c>
      <c r="C41" s="7"/>
      <c r="D41" s="11">
        <f>IF(C41="","",INDEX(Listas!$C$2:$C$6,MATCH(C41,Listas!$B$2:$B$6,0)))</f>
      </c>
      <c r="E41" s="12" t="s">
        <v>66</v>
      </c>
    </row>
    <row r="42" spans="1:4" x14ac:dyDescent="0.25">
      <c r="A42" t="s">
        <v>31</v>
      </c>
      <c r="B42" s="10" t="s">
        <v>67</v>
      </c>
      <c r="C42" s="7"/>
      <c r="D42" s="11">
        <f>IF(C42="","",INDEX(Listas!$C$2:$C$6,MATCH(C42,Listas!$B$2:$B$6,0)))</f>
      </c>
    </row>
    <row r="43" spans="1:4" x14ac:dyDescent="0.25">
      <c r="A43" t="s">
        <v>31</v>
      </c>
      <c r="B43" s="10" t="s">
        <v>68</v>
      </c>
      <c r="C43" s="7"/>
      <c r="D43" s="11">
        <f>IF(C43="","",INDEX(Listas!$C$2:$C$6,MATCH(C43,Listas!$B$2:$B$6,0)))</f>
      </c>
    </row>
    <row r="44" spans="1:4" x14ac:dyDescent="0.25">
      <c r="A44" t="s">
        <v>31</v>
      </c>
      <c r="B44" s="10" t="s">
        <v>69</v>
      </c>
      <c r="C44" s="7"/>
      <c r="D44" s="11">
        <f>IF(C44="","",INDEX(Listas!$C$2:$C$6,MATCH(C44,Listas!$B$2:$B$6,0)))</f>
      </c>
    </row>
    <row r="46" spans="1:5" x14ac:dyDescent="0.25">
      <c r="A46" s="9" t="s">
        <v>70</v>
      </c>
      <c r="B46" s="10" t="s">
        <v>71</v>
      </c>
      <c r="C46" s="7"/>
      <c r="D46" s="11">
        <f>IF(C46="","",INDEX(Listas!$C$2:$C$6,MATCH(C46,Listas!$B$2:$B$6,0)))</f>
      </c>
      <c r="E46" s="12" t="s">
        <v>72</v>
      </c>
    </row>
    <row r="47" spans="1:4" x14ac:dyDescent="0.25">
      <c r="A47" t="s">
        <v>31</v>
      </c>
      <c r="B47" s="10" t="s">
        <v>73</v>
      </c>
      <c r="C47" s="7"/>
      <c r="D47" s="11">
        <f>IF(C47="","",INDEX(Listas!$C$2:$C$6,MATCH(C47,Listas!$B$2:$B$6,0)))</f>
      </c>
    </row>
    <row r="48" spans="1:4" x14ac:dyDescent="0.25">
      <c r="A48" t="s">
        <v>31</v>
      </c>
      <c r="B48" s="10" t="s">
        <v>74</v>
      </c>
      <c r="C48" s="7"/>
      <c r="D48" s="11">
        <f>IF(C48="","",INDEX(Listas!$C$2:$C$6,MATCH(C48,Listas!$B$2:$B$6,0)))</f>
      </c>
    </row>
    <row r="49" spans="1:4" x14ac:dyDescent="0.25">
      <c r="A49" t="s">
        <v>31</v>
      </c>
      <c r="B49" s="10" t="s">
        <v>75</v>
      </c>
      <c r="C49" s="7"/>
      <c r="D49" s="11">
        <f>IF(C49="","",INDEX(Listas!$C$2:$C$6,MATCH(C49,Listas!$B$2:$B$6,0)))</f>
      </c>
    </row>
    <row r="51" spans="1:5" x14ac:dyDescent="0.25">
      <c r="A51" s="9" t="s">
        <v>76</v>
      </c>
      <c r="B51" s="10" t="s">
        <v>77</v>
      </c>
      <c r="C51" s="7"/>
      <c r="D51" s="11">
        <f>IF(C51="","",INDEX(Listas!$C$2:$C$6,MATCH(C51,Listas!$B$2:$B$6,0)))</f>
      </c>
      <c r="E51" s="12" t="s">
        <v>30</v>
      </c>
    </row>
    <row r="52" spans="1:4" x14ac:dyDescent="0.25">
      <c r="A52" t="s">
        <v>31</v>
      </c>
      <c r="B52" s="10" t="s">
        <v>78</v>
      </c>
      <c r="C52" s="7"/>
      <c r="D52" s="11">
        <f>IF(C52="","",INDEX(Listas!$C$2:$C$6,MATCH(C52,Listas!$B$2:$B$6,0)))</f>
      </c>
    </row>
    <row r="53" spans="1:4" x14ac:dyDescent="0.25">
      <c r="A53" t="s">
        <v>31</v>
      </c>
      <c r="B53" s="10" t="s">
        <v>79</v>
      </c>
      <c r="C53" s="7"/>
      <c r="D53" s="11">
        <f>IF(C53="","",INDEX(Listas!$C$2:$C$6,MATCH(C53,Listas!$B$2:$B$6,0)))</f>
      </c>
    </row>
    <row r="55" spans="1:5" x14ac:dyDescent="0.25">
      <c r="A55" s="9" t="s">
        <v>80</v>
      </c>
      <c r="B55" s="10" t="s">
        <v>81</v>
      </c>
      <c r="C55" s="7"/>
      <c r="D55" s="11">
        <f>IF(C55="","",INDEX(Listas!$C$2:$C$6,MATCH(C55,Listas!$B$2:$B$6,0)))</f>
      </c>
      <c r="E55" s="12" t="s">
        <v>82</v>
      </c>
    </row>
    <row r="56" spans="1:4" x14ac:dyDescent="0.25">
      <c r="A56" t="s">
        <v>31</v>
      </c>
      <c r="B56" s="10" t="s">
        <v>83</v>
      </c>
      <c r="C56" s="7"/>
      <c r="D56" s="11">
        <f>IF(C56="","",INDEX(Listas!$C$2:$C$6,MATCH(C56,Listas!$B$2:$B$6,0)))</f>
      </c>
    </row>
    <row r="57" spans="1:4" x14ac:dyDescent="0.25">
      <c r="A57" t="s">
        <v>31</v>
      </c>
      <c r="B57" s="10" t="s">
        <v>84</v>
      </c>
      <c r="C57" s="7"/>
      <c r="D57" s="11">
        <f>IF(C57="","",INDEX(Listas!$C$2:$C$6,MATCH(C57,Listas!$B$2:$B$6,0)))</f>
      </c>
    </row>
    <row r="58" spans="1:4" x14ac:dyDescent="0.25">
      <c r="A58" t="s">
        <v>31</v>
      </c>
      <c r="B58" s="10" t="s">
        <v>85</v>
      </c>
      <c r="C58" s="7"/>
      <c r="D58" s="11">
        <f>IF(C58="","",INDEX(Listas!$C$2:$C$6,MATCH(C58,Listas!$B$2:$B$6,0)))</f>
      </c>
    </row>
    <row r="60" spans="1:5" x14ac:dyDescent="0.25">
      <c r="A60" s="9" t="s">
        <v>86</v>
      </c>
      <c r="B60" s="10" t="s">
        <v>87</v>
      </c>
      <c r="C60" s="7"/>
      <c r="D60" s="11">
        <f>IF(C60="","",INDEX(Listas!$C$2:$C$6,MATCH(C60,Listas!$B$2:$B$6,0)))</f>
      </c>
      <c r="E60" s="12" t="s">
        <v>88</v>
      </c>
    </row>
    <row r="61" spans="1:4" x14ac:dyDescent="0.25">
      <c r="A61" t="s">
        <v>31</v>
      </c>
      <c r="B61" s="10" t="s">
        <v>89</v>
      </c>
      <c r="C61" s="7"/>
      <c r="D61" s="11">
        <f>IF(C61="","",INDEX(Listas!$C$2:$C$6,MATCH(C61,Listas!$B$2:$B$6,0)))</f>
      </c>
    </row>
    <row r="62" spans="1:4" x14ac:dyDescent="0.25">
      <c r="A62" t="s">
        <v>31</v>
      </c>
      <c r="B62" s="10" t="s">
        <v>90</v>
      </c>
      <c r="C62" s="7"/>
      <c r="D62" s="11">
        <f>IF(C62="","",INDEX(Listas!$C$2:$C$6,MATCH(C62,Listas!$B$2:$B$6,0)))</f>
      </c>
    </row>
    <row r="63" spans="1:4" x14ac:dyDescent="0.25">
      <c r="A63" t="s">
        <v>31</v>
      </c>
      <c r="B63" s="10" t="s">
        <v>91</v>
      </c>
      <c r="C63" s="7"/>
      <c r="D63" s="11">
        <f>IF(C63="","",INDEX(Listas!$C$2:$C$6,MATCH(C63,Listas!$B$2:$B$6,0)))</f>
      </c>
    </row>
    <row r="65" spans="1:5" x14ac:dyDescent="0.25">
      <c r="A65" s="9" t="s">
        <v>92</v>
      </c>
      <c r="B65" s="10" t="s">
        <v>93</v>
      </c>
      <c r="C65" s="7"/>
      <c r="D65" s="11">
        <f>IF(C65="","",INDEX(Listas!$C$2:$C$6,MATCH(C65,Listas!$B$2:$B$6,0)))</f>
      </c>
      <c r="E65" s="12" t="s">
        <v>94</v>
      </c>
    </row>
    <row r="66" spans="1:4" x14ac:dyDescent="0.25">
      <c r="A66" t="s">
        <v>31</v>
      </c>
      <c r="B66" s="10" t="s">
        <v>95</v>
      </c>
      <c r="C66" s="7"/>
      <c r="D66" s="11">
        <f>IF(C66="","",INDEX(Listas!$C$2:$C$6,MATCH(C66,Listas!$B$2:$B$6,0)))</f>
      </c>
    </row>
    <row r="67" spans="1:4" x14ac:dyDescent="0.25">
      <c r="A67" t="s">
        <v>31</v>
      </c>
      <c r="B67" s="10" t="s">
        <v>96</v>
      </c>
      <c r="C67" s="7"/>
      <c r="D67" s="11">
        <f>IF(C67="","",INDEX(Listas!$C$2:$C$6,MATCH(C67,Listas!$B$2:$B$6,0)))</f>
      </c>
    </row>
    <row r="68" spans="1:4" x14ac:dyDescent="0.25">
      <c r="A68" t="s">
        <v>31</v>
      </c>
      <c r="B68" s="10" t="s">
        <v>97</v>
      </c>
      <c r="C68" s="7"/>
      <c r="D68" s="11">
        <f>IF(C68="","",INDEX(Listas!$C$2:$C$6,MATCH(C68,Listas!$B$2:$B$6,0)))</f>
      </c>
    </row>
    <row r="70" spans="1:5" x14ac:dyDescent="0.25">
      <c r="A70" s="9" t="s">
        <v>98</v>
      </c>
      <c r="B70" s="10" t="s">
        <v>99</v>
      </c>
      <c r="C70" s="7"/>
      <c r="D70" s="11">
        <f>IF(C70="","",INDEX(Listas!$C$2:$C$6,MATCH(C70,Listas!$B$2:$B$6,0)))</f>
      </c>
      <c r="E70" s="12" t="s">
        <v>30</v>
      </c>
    </row>
    <row r="71" spans="1:4" x14ac:dyDescent="0.25">
      <c r="A71" t="s">
        <v>31</v>
      </c>
      <c r="B71" s="10" t="s">
        <v>100</v>
      </c>
      <c r="C71" s="7"/>
      <c r="D71" s="11">
        <f>IF(C71="","",INDEX(Listas!$C$2:$C$6,MATCH(C71,Listas!$B$2:$B$6,0)))</f>
      </c>
    </row>
    <row r="72" spans="1:4" x14ac:dyDescent="0.25">
      <c r="A72" t="s">
        <v>31</v>
      </c>
      <c r="B72" s="10" t="s">
        <v>101</v>
      </c>
      <c r="C72" s="7"/>
      <c r="D72" s="11">
        <f>IF(C72="","",INDEX(Listas!$C$2:$C$6,MATCH(C72,Listas!$B$2:$B$6,0)))</f>
      </c>
    </row>
    <row r="74" spans="1:5" x14ac:dyDescent="0.25">
      <c r="A74" s="9" t="s">
        <v>102</v>
      </c>
      <c r="B74" s="10" t="s">
        <v>103</v>
      </c>
      <c r="C74" s="7"/>
      <c r="D74" s="11">
        <f>IF(C74="","",INDEX(Listas!$C$2:$C$6,MATCH(C74,Listas!$B$2:$B$6,0)))</f>
      </c>
      <c r="E74" s="12" t="s">
        <v>104</v>
      </c>
    </row>
    <row r="75" spans="1:4" x14ac:dyDescent="0.25">
      <c r="A75" t="s">
        <v>31</v>
      </c>
      <c r="B75" s="10" t="s">
        <v>105</v>
      </c>
      <c r="C75" s="7"/>
      <c r="D75" s="11">
        <f>IF(C75="","",INDEX(Listas!$C$2:$C$6,MATCH(C75,Listas!$B$2:$B$6,0)))</f>
      </c>
    </row>
    <row r="76" spans="1:4" x14ac:dyDescent="0.25">
      <c r="A76" t="s">
        <v>31</v>
      </c>
      <c r="B76" s="10" t="s">
        <v>106</v>
      </c>
      <c r="C76" s="7"/>
      <c r="D76" s="11">
        <f>IF(C76="","",INDEX(Listas!$C$2:$C$6,MATCH(C76,Listas!$B$2:$B$6,0)))</f>
      </c>
    </row>
    <row r="77" spans="1:4" x14ac:dyDescent="0.25">
      <c r="A77" t="s">
        <v>31</v>
      </c>
      <c r="B77" s="10" t="s">
        <v>107</v>
      </c>
      <c r="C77" s="7"/>
      <c r="D77" s="11">
        <f>IF(C77="","",INDEX(Listas!$C$2:$C$6,MATCH(C77,Listas!$B$2:$B$6,0)))</f>
      </c>
    </row>
    <row r="79" spans="1:5" x14ac:dyDescent="0.25">
      <c r="A79" s="9" t="s">
        <v>108</v>
      </c>
      <c r="B79" s="10" t="s">
        <v>109</v>
      </c>
      <c r="C79" s="7"/>
      <c r="D79" s="11">
        <f>IF(C79="","",INDEX(Listas!$C$2:$C$6,MATCH(C79,Listas!$B$2:$B$6,0)))</f>
      </c>
      <c r="E79" s="12" t="s">
        <v>104</v>
      </c>
    </row>
    <row r="80" spans="1:4" x14ac:dyDescent="0.25">
      <c r="A80" t="s">
        <v>31</v>
      </c>
      <c r="B80" s="10" t="s">
        <v>110</v>
      </c>
      <c r="C80" s="7"/>
      <c r="D80" s="11">
        <f>IF(C80="","",INDEX(Listas!$C$2:$C$6,MATCH(C80,Listas!$B$2:$B$6,0)))</f>
      </c>
    </row>
    <row r="81" spans="1:4" x14ac:dyDescent="0.25">
      <c r="A81" t="s">
        <v>31</v>
      </c>
      <c r="B81" s="10" t="s">
        <v>111</v>
      </c>
      <c r="C81" s="7"/>
      <c r="D81" s="11">
        <f>IF(C81="","",INDEX(Listas!$C$2:$C$6,MATCH(C81,Listas!$B$2:$B$6,0)))</f>
      </c>
    </row>
    <row r="83" spans="1:5" x14ac:dyDescent="0.25">
      <c r="A83" s="9" t="s">
        <v>112</v>
      </c>
      <c r="B83" s="10" t="s">
        <v>113</v>
      </c>
      <c r="C83" s="7"/>
      <c r="D83" s="11">
        <f>IF(C83="","",INDEX(Listas!$C$2:$C$6,MATCH(C83,Listas!$B$2:$B$6,0)))</f>
      </c>
      <c r="E83" s="12" t="s">
        <v>114</v>
      </c>
    </row>
    <row r="84" spans="1:4" x14ac:dyDescent="0.25">
      <c r="A84" t="s">
        <v>31</v>
      </c>
      <c r="B84" s="10" t="s">
        <v>115</v>
      </c>
      <c r="C84" s="7"/>
      <c r="D84" s="11">
        <f>IF(C84="","",INDEX(Listas!$C$2:$C$6,MATCH(C84,Listas!$B$2:$B$6,0)))</f>
      </c>
    </row>
    <row r="85" spans="1:4" x14ac:dyDescent="0.25">
      <c r="A85" t="s">
        <v>31</v>
      </c>
      <c r="B85" s="10" t="s">
        <v>116</v>
      </c>
      <c r="C85" s="7"/>
      <c r="D85" s="11">
        <f>IF(C85="","",INDEX(Listas!$C$2:$C$6,MATCH(C85,Listas!$B$2:$B$6,0)))</f>
      </c>
    </row>
    <row r="86" spans="1:4" x14ac:dyDescent="0.25">
      <c r="A86" t="s">
        <v>31</v>
      </c>
      <c r="B86" s="10" t="s">
        <v>117</v>
      </c>
      <c r="C86" s="7"/>
      <c r="D86" s="11">
        <f>IF(C86="","",INDEX(Listas!$C$2:$C$6,MATCH(C86,Listas!$B$2:$B$6,0)))</f>
      </c>
    </row>
    <row r="88" spans="1:5" x14ac:dyDescent="0.25">
      <c r="A88" s="9" t="s">
        <v>118</v>
      </c>
      <c r="B88" s="10" t="s">
        <v>119</v>
      </c>
      <c r="C88" s="7"/>
      <c r="D88" s="11">
        <f>IF(C88="","",INDEX(Listas!$C$2:$C$6,MATCH(C88,Listas!$B$2:$B$6,0)))</f>
      </c>
      <c r="E88" s="12" t="s">
        <v>120</v>
      </c>
    </row>
    <row r="89" spans="1:4" x14ac:dyDescent="0.25">
      <c r="A89" t="s">
        <v>31</v>
      </c>
      <c r="B89" s="10" t="s">
        <v>121</v>
      </c>
      <c r="C89" s="7"/>
      <c r="D89" s="11">
        <f>IF(C89="","",INDEX(Listas!$C$2:$C$6,MATCH(C89,Listas!$B$2:$B$6,0)))</f>
      </c>
    </row>
    <row r="90" spans="1:4" x14ac:dyDescent="0.25">
      <c r="A90" t="s">
        <v>31</v>
      </c>
      <c r="B90" s="10" t="s">
        <v>122</v>
      </c>
      <c r="C90" s="7"/>
      <c r="D90" s="11">
        <f>IF(C90="","",INDEX(Listas!$C$2:$C$6,MATCH(C90,Listas!$B$2:$B$6,0)))</f>
      </c>
    </row>
    <row r="92" spans="1:5" x14ac:dyDescent="0.25">
      <c r="A92" s="9" t="s">
        <v>123</v>
      </c>
      <c r="B92" s="10" t="s">
        <v>124</v>
      </c>
      <c r="C92" s="7"/>
      <c r="D92" s="11">
        <f>IF(C92="","",INDEX(Listas!$C$2:$C$6,MATCH(C92,Listas!$B$2:$B$6,0)))</f>
      </c>
      <c r="E92" s="12" t="s">
        <v>125</v>
      </c>
    </row>
    <row r="93" spans="1:4" x14ac:dyDescent="0.25">
      <c r="A93" t="s">
        <v>31</v>
      </c>
      <c r="B93" s="10" t="s">
        <v>126</v>
      </c>
      <c r="C93" s="7"/>
      <c r="D93" s="11">
        <f>IF(C93="","",INDEX(Listas!$C$2:$C$6,MATCH(C93,Listas!$B$2:$B$6,0)))</f>
      </c>
    </row>
    <row r="94" spans="1:4" x14ac:dyDescent="0.25">
      <c r="A94" t="s">
        <v>31</v>
      </c>
      <c r="B94" s="10" t="s">
        <v>127</v>
      </c>
      <c r="C94" s="7"/>
      <c r="D94" s="11">
        <f>IF(C94="","",INDEX(Listas!$C$2:$C$6,MATCH(C94,Listas!$B$2:$B$6,0)))</f>
      </c>
    </row>
    <row r="96" spans="1:5" x14ac:dyDescent="0.25">
      <c r="A96" s="4" t="s">
        <v>128</v>
      </c>
      <c r="B96" s="4"/>
      <c r="C96" s="4"/>
      <c r="D96" s="4"/>
      <c r="E96" s="4"/>
    </row>
    <row r="97" spans="1:3" x14ac:dyDescent="0.25">
      <c r="A97" s="1" t="s">
        <v>24</v>
      </c>
      <c r="B97" s="1" t="s">
        <v>129</v>
      </c>
      <c r="C97" s="1" t="s">
        <v>130</v>
      </c>
    </row>
    <row r="98" spans="1:3" x14ac:dyDescent="0.25">
      <c r="A98" t="s">
        <v>28</v>
      </c>
      <c r="B98">
        <f>IF(COUNT(D10:D12)=0,"",ROUND(AVERAGE(D10:D12),1))</f>
      </c>
      <c r="C98">
        <f>IF(B98="","",IF(B98&gt;=4.5,"Fuerte",IF(B98&gt;=3.5,"Desarrollada",IF(B98&gt;=2.5,"En progreso","Oportunidad de mejora"))))</f>
      </c>
    </row>
    <row r="99" spans="1:3" x14ac:dyDescent="0.25">
      <c r="A99" t="s">
        <v>34</v>
      </c>
      <c r="B99">
        <f>IF(COUNT(D14:D17)=0,"",ROUND(AVERAGE(D14:D17),1))</f>
      </c>
      <c r="C99">
        <f>IF(B99="","",IF(B99&gt;=4.5,"Fuerte",IF(B99&gt;=3.5,"Desarrollada",IF(B99&gt;=2.5,"En progreso","Oportunidad de mejora"))))</f>
      </c>
    </row>
    <row r="100" spans="1:3" x14ac:dyDescent="0.25">
      <c r="A100" t="s">
        <v>40</v>
      </c>
      <c r="B100">
        <f>IF(COUNT(D19:D22)=0,"",ROUND(AVERAGE(D19:D22),1))</f>
      </c>
      <c r="C100">
        <f>IF(B100="","",IF(B100&gt;=4.5,"Fuerte",IF(B100&gt;=3.5,"Desarrollada",IF(B100&gt;=2.5,"En progreso","Oportunidad de mejora"))))</f>
      </c>
    </row>
    <row r="101" spans="1:3" x14ac:dyDescent="0.25">
      <c r="A101" t="s">
        <v>46</v>
      </c>
      <c r="B101">
        <f>IF(COUNT(D24:D26)=0,"",ROUND(AVERAGE(D24:D26),1))</f>
      </c>
      <c r="C101">
        <f>IF(B101="","",IF(B101&gt;=4.5,"Fuerte",IF(B101&gt;=3.5,"Desarrollada",IF(B101&gt;=2.5,"En progreso","Oportunidad de mejora"))))</f>
      </c>
    </row>
    <row r="102" spans="1:3" x14ac:dyDescent="0.25">
      <c r="A102" t="s">
        <v>50</v>
      </c>
      <c r="B102">
        <f>IF(COUNT(D28:D30)=0,"",ROUND(AVERAGE(D28:D30),1))</f>
      </c>
      <c r="C102">
        <f>IF(B102="","",IF(B102&gt;=4.5,"Fuerte",IF(B102&gt;=3.5,"Desarrollada",IF(B102&gt;=2.5,"En progreso","Oportunidad de mejora"))))</f>
      </c>
    </row>
    <row r="103" spans="1:3" x14ac:dyDescent="0.25">
      <c r="A103" t="s">
        <v>54</v>
      </c>
      <c r="B103">
        <f>IF(COUNT(D32:D35)=0,"",ROUND(AVERAGE(D32:D35),1))</f>
      </c>
      <c r="C103">
        <f>IF(B103="","",IF(B103&gt;=4.5,"Fuerte",IF(B103&gt;=3.5,"Desarrollada",IF(B103&gt;=2.5,"En progreso","Oportunidad de mejora"))))</f>
      </c>
    </row>
    <row r="104" spans="1:3" x14ac:dyDescent="0.25">
      <c r="A104" t="s">
        <v>60</v>
      </c>
      <c r="B104">
        <f>IF(COUNT(D37:D39)=0,"",ROUND(AVERAGE(D37:D39),1))</f>
      </c>
      <c r="C104">
        <f>IF(B104="","",IF(B104&gt;=4.5,"Fuerte",IF(B104&gt;=3.5,"Desarrollada",IF(B104&gt;=2.5,"En progreso","Oportunidad de mejora"))))</f>
      </c>
    </row>
    <row r="105" spans="1:3" x14ac:dyDescent="0.25">
      <c r="A105" t="s">
        <v>64</v>
      </c>
      <c r="B105">
        <f>IF(COUNT(D41:D44)=0,"",ROUND(AVERAGE(D41:D44),1))</f>
      </c>
      <c r="C105">
        <f>IF(B105="","",IF(B105&gt;=4.5,"Fuerte",IF(B105&gt;=3.5,"Desarrollada",IF(B105&gt;=2.5,"En progreso","Oportunidad de mejora"))))</f>
      </c>
    </row>
    <row r="106" spans="1:3" x14ac:dyDescent="0.25">
      <c r="A106" t="s">
        <v>70</v>
      </c>
      <c r="B106">
        <f>IF(COUNT(D46:D49)=0,"",ROUND(AVERAGE(D46:D49),1))</f>
      </c>
      <c r="C106">
        <f>IF(B106="","",IF(B106&gt;=4.5,"Fuerte",IF(B106&gt;=3.5,"Desarrollada",IF(B106&gt;=2.5,"En progreso","Oportunidad de mejora"))))</f>
      </c>
    </row>
    <row r="107" spans="1:3" x14ac:dyDescent="0.25">
      <c r="A107" t="s">
        <v>76</v>
      </c>
      <c r="B107">
        <f>IF(COUNT(D51:D53)=0,"",ROUND(AVERAGE(D51:D53),1))</f>
      </c>
      <c r="C107">
        <f>IF(B107="","",IF(B107&gt;=4.5,"Fuerte",IF(B107&gt;=3.5,"Desarrollada",IF(B107&gt;=2.5,"En progreso","Oportunidad de mejora"))))</f>
      </c>
    </row>
    <row r="108" spans="1:3" x14ac:dyDescent="0.25">
      <c r="A108" t="s">
        <v>80</v>
      </c>
      <c r="B108">
        <f>IF(COUNT(D55:D58)=0,"",ROUND(AVERAGE(D55:D58),1))</f>
      </c>
      <c r="C108">
        <f>IF(B108="","",IF(B108&gt;=4.5,"Fuerte",IF(B108&gt;=3.5,"Desarrollada",IF(B108&gt;=2.5,"En progreso","Oportunidad de mejora"))))</f>
      </c>
    </row>
    <row r="109" spans="1:3" x14ac:dyDescent="0.25">
      <c r="A109" t="s">
        <v>86</v>
      </c>
      <c r="B109">
        <f>IF(COUNT(D60:D63)=0,"",ROUND(AVERAGE(D60:D63),1))</f>
      </c>
      <c r="C109">
        <f>IF(B109="","",IF(B109&gt;=4.5,"Fuerte",IF(B109&gt;=3.5,"Desarrollada",IF(B109&gt;=2.5,"En progreso","Oportunidad de mejora"))))</f>
      </c>
    </row>
    <row r="110" spans="1:3" x14ac:dyDescent="0.25">
      <c r="A110" t="s">
        <v>92</v>
      </c>
      <c r="B110">
        <f>IF(COUNT(D65:D68)=0,"",ROUND(AVERAGE(D65:D68),1))</f>
      </c>
      <c r="C110">
        <f>IF(B110="","",IF(B110&gt;=4.5,"Fuerte",IF(B110&gt;=3.5,"Desarrollada",IF(B110&gt;=2.5,"En progreso","Oportunidad de mejora"))))</f>
      </c>
    </row>
    <row r="111" spans="1:3" x14ac:dyDescent="0.25">
      <c r="A111" t="s">
        <v>98</v>
      </c>
      <c r="B111">
        <f>IF(COUNT(D70:D72)=0,"",ROUND(AVERAGE(D70:D72),1))</f>
      </c>
      <c r="C111">
        <f>IF(B111="","",IF(B111&gt;=4.5,"Fuerte",IF(B111&gt;=3.5,"Desarrollada",IF(B111&gt;=2.5,"En progreso","Oportunidad de mejora"))))</f>
      </c>
    </row>
    <row r="112" spans="1:3" x14ac:dyDescent="0.25">
      <c r="A112" t="s">
        <v>102</v>
      </c>
      <c r="B112">
        <f>IF(COUNT(D74:D77)=0,"",ROUND(AVERAGE(D74:D77),1))</f>
      </c>
      <c r="C112">
        <f>IF(B112="","",IF(B112&gt;=4.5,"Fuerte",IF(B112&gt;=3.5,"Desarrollada",IF(B112&gt;=2.5,"En progreso","Oportunidad de mejora"))))</f>
      </c>
    </row>
    <row r="113" spans="1:3" x14ac:dyDescent="0.25">
      <c r="A113" t="s">
        <v>108</v>
      </c>
      <c r="B113">
        <f>IF(COUNT(D79:D81)=0,"",ROUND(AVERAGE(D79:D81),1))</f>
      </c>
      <c r="C113">
        <f>IF(B113="","",IF(B113&gt;=4.5,"Fuerte",IF(B113&gt;=3.5,"Desarrollada",IF(B113&gt;=2.5,"En progreso","Oportunidad de mejora"))))</f>
      </c>
    </row>
    <row r="114" spans="1:3" x14ac:dyDescent="0.25">
      <c r="A114" t="s">
        <v>112</v>
      </c>
      <c r="B114">
        <f>IF(COUNT(D83:D86)=0,"",ROUND(AVERAGE(D83:D86),1))</f>
      </c>
      <c r="C114">
        <f>IF(B114="","",IF(B114&gt;=4.5,"Fuerte",IF(B114&gt;=3.5,"Desarrollada",IF(B114&gt;=2.5,"En progreso","Oportunidad de mejora"))))</f>
      </c>
    </row>
    <row r="115" spans="1:3" x14ac:dyDescent="0.25">
      <c r="A115" t="s">
        <v>118</v>
      </c>
      <c r="B115">
        <f>IF(COUNT(D88:D90)=0,"",ROUND(AVERAGE(D88:D90),1))</f>
      </c>
      <c r="C115">
        <f>IF(B115="","",IF(B115&gt;=4.5,"Fuerte",IF(B115&gt;=3.5,"Desarrollada",IF(B115&gt;=2.5,"En progreso","Oportunidad de mejora"))))</f>
      </c>
    </row>
    <row r="116" spans="1:3" x14ac:dyDescent="0.25">
      <c r="A116" t="s">
        <v>123</v>
      </c>
      <c r="B116">
        <f>IF(COUNT(D92:D94)=0,"",ROUND(AVERAGE(D92:D94),1))</f>
      </c>
      <c r="C116">
        <f>IF(B116="","",IF(B116&gt;=4.5,"Fuerte",IF(B116&gt;=3.5,"Desarrollada",IF(B116&gt;=2.5,"En progreso","Oportunidad de mejora"))))</f>
      </c>
    </row>
    <row r="118" spans="1:3" x14ac:dyDescent="0.25">
      <c r="A118" s="13" t="s">
        <v>131</v>
      </c>
      <c r="B118" s="14">
        <f>IF(COUNT(B98,B99,B100,B101,B102,B103,B104,B105,B106,B107,B108,B109,B110,B111,B112,B113,B114,B115,B116)=0,"",ROUND(AVERAGE(B98,B99,B100,B101,B102,B103,B104,B105,B106,B107,B108,B109,B110,B111,B112,B113,B114,B115,B116),1))</f>
      </c>
      <c r="C118" s="1">
        <f>IF(B118="","",IF(B118&gt;=4.5,"Fuerte",IF(B118&gt;=3.5,"Desarrollada",IF(B118&gt;=2.5,"En progreso","Oportunidad de mejora"))))</f>
      </c>
    </row>
  </sheetData>
  <mergeCells count="5">
    <mergeCell ref="A1:E1"/>
    <mergeCell ref="A2:E2"/>
    <mergeCell ref="A4:E4"/>
    <mergeCell ref="A8:E8"/>
    <mergeCell ref="A96:E96"/>
  </mergeCells>
  <dataValidations count="20">
    <dataValidation type="list" allowBlank="1" showErrorMessage="1" errorTitle="Opción inválida" error="Selecciona un valor de la lista desplegable." sqref="B6">
      <formula1>Listas!$A$2:$A$11</formula1>
    </dataValidation>
    <dataValidation type="list" allowBlank="1" showErrorMessage="1" errorTitle="Opción inválida" error="Selecciona un valor de la lista desplegable." sqref="C10:C12">
      <formula1>Listas!$B$2:$B$6</formula1>
    </dataValidation>
    <dataValidation type="list" allowBlank="1" showErrorMessage="1" errorTitle="Opción inválida" error="Selecciona un valor de la lista desplegable." sqref="C14:C17">
      <formula1>Listas!$B$2:$B$6</formula1>
    </dataValidation>
    <dataValidation type="list" allowBlank="1" showErrorMessage="1" errorTitle="Opción inválida" error="Selecciona un valor de la lista desplegable." sqref="C19:C22">
      <formula1>Listas!$B$2:$B$6</formula1>
    </dataValidation>
    <dataValidation type="list" allowBlank="1" showErrorMessage="1" errorTitle="Opción inválida" error="Selecciona un valor de la lista desplegable." sqref="C24:C26">
      <formula1>Listas!$B$2:$B$6</formula1>
    </dataValidation>
    <dataValidation type="list" allowBlank="1" showErrorMessage="1" errorTitle="Opción inválida" error="Selecciona un valor de la lista desplegable." sqref="C28:C30">
      <formula1>Listas!$B$2:$B$6</formula1>
    </dataValidation>
    <dataValidation type="list" allowBlank="1" showErrorMessage="1" errorTitle="Opción inválida" error="Selecciona un valor de la lista desplegable." sqref="C32:C35">
      <formula1>Listas!$B$2:$B$6</formula1>
    </dataValidation>
    <dataValidation type="list" allowBlank="1" showErrorMessage="1" errorTitle="Opción inválida" error="Selecciona un valor de la lista desplegable." sqref="C37:C39">
      <formula1>Listas!$B$2:$B$6</formula1>
    </dataValidation>
    <dataValidation type="list" allowBlank="1" showErrorMessage="1" errorTitle="Opción inválida" error="Selecciona un valor de la lista desplegable." sqref="C41:C44">
      <formula1>Listas!$B$2:$B$6</formula1>
    </dataValidation>
    <dataValidation type="list" allowBlank="1" showErrorMessage="1" errorTitle="Opción inválida" error="Selecciona un valor de la lista desplegable." sqref="C46:C49">
      <formula1>Listas!$B$2:$B$6</formula1>
    </dataValidation>
    <dataValidation type="list" allowBlank="1" showErrorMessage="1" errorTitle="Opción inválida" error="Selecciona un valor de la lista desplegable." sqref="C51:C53">
      <formula1>Listas!$B$2:$B$6</formula1>
    </dataValidation>
    <dataValidation type="list" allowBlank="1" showErrorMessage="1" errorTitle="Opción inválida" error="Selecciona un valor de la lista desplegable." sqref="C55:C58">
      <formula1>Listas!$B$2:$B$6</formula1>
    </dataValidation>
    <dataValidation type="list" allowBlank="1" showErrorMessage="1" errorTitle="Opción inválida" error="Selecciona un valor de la lista desplegable." sqref="C60:C63">
      <formula1>Listas!$B$2:$B$6</formula1>
    </dataValidation>
    <dataValidation type="list" allowBlank="1" showErrorMessage="1" errorTitle="Opción inválida" error="Selecciona un valor de la lista desplegable." sqref="C65:C68">
      <formula1>Listas!$B$2:$B$6</formula1>
    </dataValidation>
    <dataValidation type="list" allowBlank="1" showErrorMessage="1" errorTitle="Opción inválida" error="Selecciona un valor de la lista desplegable." sqref="C70:C72">
      <formula1>Listas!$B$2:$B$6</formula1>
    </dataValidation>
    <dataValidation type="list" allowBlank="1" showErrorMessage="1" errorTitle="Opción inválida" error="Selecciona un valor de la lista desplegable." sqref="C74:C77">
      <formula1>Listas!$B$2:$B$6</formula1>
    </dataValidation>
    <dataValidation type="list" allowBlank="1" showErrorMessage="1" errorTitle="Opción inválida" error="Selecciona un valor de la lista desplegable." sqref="C79:C81">
      <formula1>Listas!$B$2:$B$6</formula1>
    </dataValidation>
    <dataValidation type="list" allowBlank="1" showErrorMessage="1" errorTitle="Opción inválida" error="Selecciona un valor de la lista desplegable." sqref="C83:C86">
      <formula1>Listas!$B$2:$B$6</formula1>
    </dataValidation>
    <dataValidation type="list" allowBlank="1" showErrorMessage="1" errorTitle="Opción inválida" error="Selecciona un valor de la lista desplegable." sqref="C88:C90">
      <formula1>Listas!$B$2:$B$6</formula1>
    </dataValidation>
    <dataValidation type="list" allowBlank="1" showErrorMessage="1" errorTitle="Opción inválida" error="Selecciona un valor de la lista desplegable." sqref="C92:C94">
      <formula1>Listas!$B$2:$B$6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FormatPr defaultRowHeight="15" outlineLevelRow="0" outlineLevelCol="0" x14ac:dyDescent="55"/>
  <cols>
    <col min="1" max="1" width="85" customWidth="1"/>
  </cols>
  <sheetData>
    <row r="1" spans="1:1" x14ac:dyDescent="0.25">
      <c r="A1" s="2" t="s">
        <v>132</v>
      </c>
    </row>
    <row r="2" spans="1:1" x14ac:dyDescent="0.25">
      <c r="A2" t="s">
        <v>31</v>
      </c>
    </row>
    <row r="3" spans="1:1" x14ac:dyDescent="0.25">
      <c r="A3" t="s">
        <v>133</v>
      </c>
    </row>
    <row r="4" spans="1:1" x14ac:dyDescent="0.25">
      <c r="A4" t="s">
        <v>134</v>
      </c>
    </row>
    <row r="5" spans="1:1" x14ac:dyDescent="0.25">
      <c r="A5" t="s">
        <v>135</v>
      </c>
    </row>
    <row r="6" spans="1:1" x14ac:dyDescent="0.25">
      <c r="A6" t="s">
        <v>136</v>
      </c>
    </row>
    <row r="7" spans="1:1" x14ac:dyDescent="0.25">
      <c r="A7" t="s">
        <v>137</v>
      </c>
    </row>
    <row r="8" spans="1:1" x14ac:dyDescent="0.25">
      <c r="A8" t="s">
        <v>138</v>
      </c>
    </row>
    <row r="9" spans="1:1" x14ac:dyDescent="0.25">
      <c r="A9" t="s">
        <v>139</v>
      </c>
    </row>
    <row r="10" spans="1:1" x14ac:dyDescent="0.25">
      <c r="A10" t="s">
        <v>140</v>
      </c>
    </row>
    <row r="11" spans="1:1" x14ac:dyDescent="0.25">
      <c r="A11" t="s">
        <v>141</v>
      </c>
    </row>
    <row r="12" spans="1:1" x14ac:dyDescent="0.25">
      <c r="A12" t="s">
        <v>31</v>
      </c>
    </row>
    <row r="13" spans="1:1" x14ac:dyDescent="0.25">
      <c r="A13" t="s">
        <v>142</v>
      </c>
    </row>
    <row r="14" spans="1:1" x14ac:dyDescent="0.25">
      <c r="A14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Listas</vt:lpstr>
      <vt:lpstr>Cuestionario Capacidades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Questionnaires</dc:creator>
  <dc:title/>
  <dc:subject/>
  <dc:description/>
  <cp:keywords/>
  <cp:category/>
  <cp:lastModifiedBy>Unknown</cp:lastModifiedBy>
  <dcterms:created xsi:type="dcterms:W3CDTF">2026-08-15T05:11:11Z</dcterms:created>
  <dcterms:modified xsi:type="dcterms:W3CDTF">2026-08-15T05:11:11Z</dcterms:modified>
</cp:coreProperties>
</file>